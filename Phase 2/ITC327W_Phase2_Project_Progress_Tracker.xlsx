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ince\Downloads\"/>
    </mc:Choice>
  </mc:AlternateContent>
  <xr:revisionPtr revIDLastSave="0" documentId="13_ncr:1_{2D6352A4-6529-45B7-B78B-FDB245B7129E}" xr6:coauthVersionLast="47" xr6:coauthVersionMax="47" xr10:uidLastSave="{00000000-0000-0000-0000-000000000000}"/>
  <bookViews>
    <workbookView xWindow="-120" yWindow="-120" windowWidth="20730" windowHeight="11040" firstSheet="4" activeTab="7"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<sst xmlns="http://schemas.openxmlformats.org/spreadsheetml/2006/main" count="425" uniqueCount="227">
  <si>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</si>
  <si>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</si>
  <si>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</si>
  <si>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</si>
  <si>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</si>
  <si>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</si>
  <si>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</si>
  <si>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</si>
  <si>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</si>
  <si>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</si>
  <si>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</si>
  <si>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</si>
  <si>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</si>
  <si>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</si>
  <si>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</si>
  <si>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</si>
  <si>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</si>
  <si>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</si>
  <si>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</si>
  <si>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</si>
  <si>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</si>
  <si>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</si>
  <si>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</si>
  <si>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</si>
  <si>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</si>
  <si>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</si>
  <si>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</si>
  <si>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</si>
  <si>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</si>
  <si>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</si>
  <si>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Phase 2 Progress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</si>
  <si>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</si>
  <si>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</si>
  <si>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</si>
  <si>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</si>
  <si>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</si>
  <si>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</si>
  <si>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</si>
  <si>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</si>
  <si>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</si>
  <si>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</si>
  <si>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</si>
  <si>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</si>
  <si>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</si>
  <si>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</si>
  <si>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</si>
  <si>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</si>
  <si>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</si>
  <si>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</si>
  <si>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</si>
  <si>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</si>
  <si>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</si>
  <si>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</si>
  <si>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</si>
  <si>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</si>
  <si>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</si>
  <si>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</si>
  <si>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</si>
  <si>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</si>
  <si>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</si>
  <si>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P2-02</t>
  </si>
  <si>
    <t>Use Case Diagram</t>
  </si>
  <si>
    <t>Actors, use cases, system boundary and appropriate UML relationships</t>
  </si>
  <si>
    <t>P2-03</t>
  </si>
  <si>
    <t>Sequence Diagram 1</t>
  </si>
  <si>
    <t>Important Flutter process</t>
  </si>
  <si>
    <t>P2-04</t>
  </si>
  <si>
    <t>Sequence Diagram 2</t>
  </si>
  <si>
    <t>Important ASP.NET process</t>
  </si>
  <si>
    <t>P2-05</t>
  </si>
  <si>
    <t>ERD</t>
  </si>
  <si>
    <t>Entities, attributes, PKs, FKs, relationships and cardinality</t>
  </si>
  <si>
    <t>P2-06</t>
  </si>
  <si>
    <t>Flutter Interface Designs</t>
  </si>
  <si>
    <t>Main mobile screens and navigation</t>
  </si>
  <si>
    <t>P2-07</t>
  </si>
  <si>
    <t>ASP.NET Interface Designs</t>
  </si>
  <si>
    <t>Main web pages and navigation</t>
  </si>
  <si>
    <t>P2-08</t>
  </si>
  <si>
    <t>Design Alignment</t>
  </si>
  <si>
    <t>Requirements linked across UML, ERD and interfaces</t>
  </si>
  <si>
    <t>P2-09</t>
  </si>
  <si>
    <t>Updated SRS</t>
  </si>
  <si>
    <t>Phase 2 architecture and design section inserted in existing SRS</t>
  </si>
  <si>
    <t>P2-10</t>
  </si>
  <si>
    <t>Microsoft Project</t>
  </si>
  <si>
    <t>Schedule updated to reflect design progress and upcoming development</t>
  </si>
  <si>
    <t>P2-11</t>
  </si>
  <si>
    <t>GitHub</t>
  </si>
  <si>
    <t>Current design documentation and repository organisation</t>
  </si>
  <si>
    <t>P2-12</t>
  </si>
  <si>
    <t>Phase 2 Presentation</t>
  </si>
  <si>
    <t>Presentation and defence preparation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</si>
  <si>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</si>
  <si>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</si>
  <si>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</si>
  <si>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</si>
  <si>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</si>
  <si>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</si>
  <si>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</si>
  <si>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</si>
  <si>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</si>
  <si>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</si>
  <si>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</si>
  <si>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</si>
  <si>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No</t>
  </si>
  <si>
    <t>Phase 2 Original Design Source Links / Files</t>
  </si>
  <si>
    <t>Design Artefact</t>
  </si>
  <si>
    <t>Tool Used</t>
  </si>
  <si>
    <t>Editable Link / File Name</t>
  </si>
  <si>
    <t>Accessible to Lecturer?</t>
  </si>
  <si>
    <t>Last Updated</t>
  </si>
  <si>
    <t>Responsible Student</t>
  </si>
  <si>
    <t>Included in SRS?</t>
  </si>
  <si>
    <t>Notes</t>
  </si>
  <si>
    <t>Navigation Flow</t>
  </si>
  <si>
    <t>Phase 2 Challenges and Corrective Actions</t>
  </si>
  <si>
    <t>Date Identified</t>
  </si>
  <si>
    <t>Challenge</t>
  </si>
  <si>
    <t>Effect on Progress / Design</t>
  </si>
  <si>
    <t>Corrective Action</t>
  </si>
  <si>
    <t>Target Date</t>
  </si>
  <si>
    <t>Resolved Date</t>
  </si>
  <si>
    <t>Phase 2 Completion Checklist</t>
  </si>
  <si>
    <t>Complete?</t>
  </si>
  <si>
    <t>Architecture complete</t>
  </si>
  <si>
    <t>What was completed during Phase 2?</t>
  </si>
  <si>
    <t>Use Case Diagram complete</t>
  </si>
  <si>
    <t>What remains incomplete?</t>
  </si>
  <si>
    <t>Two Sequence Diagrams complete</t>
  </si>
  <si>
    <t>Why is it incomplete?</t>
  </si>
  <si>
    <t>ERD complete</t>
  </si>
  <si>
    <t>Which contributions were particularly important?</t>
  </si>
  <si>
    <t>Flutter interfaces complete</t>
  </si>
  <si>
    <t>Were there participation concerns?</t>
  </si>
  <si>
    <t>ASP.NET interfaces complete</t>
  </si>
  <si>
    <t>What will the group improve in Phase 3?</t>
  </si>
  <si>
    <t>Editable source links/files recorded</t>
  </si>
  <si>
    <t>Main priority for Phase 3</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</si>
  <si>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</si>
  <si>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</si>
  <si>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</si>
  <si>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</si>
  <si>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</si>
  <si>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</si>
  <si>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</si>
  <si>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</si>
  <si>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2. Which architecture or design activities were the most challenging?</t>
  </si>
  <si>
    <t>3. How did the group ensure that Flutter, ASP.NET and Supabase were designed as one integrated system?</t>
  </si>
  <si>
    <t>4. How was work divided among group members, and was participation balanced?</t>
  </si>
  <si>
    <t>5. What did the group learn from developing the UML, ERD and interface designs?</t>
  </si>
  <si>
    <t>6. What will the group do differently during development in Phase 3?</t>
  </si>
  <si>
    <t>Group V</t>
  </si>
  <si>
    <t>Digital Maintenance Complaint System</t>
  </si>
  <si>
    <t>CUT Estate and Infrastructure</t>
  </si>
  <si>
    <t>Asande Mkabela</t>
  </si>
  <si>
    <t>Tsebano Stemer</t>
  </si>
  <si>
    <t>Thabang Motaung</t>
  </si>
  <si>
    <t>Vuyisile Fihlo</t>
  </si>
  <si>
    <t>Sisekelo Mtshali</t>
  </si>
  <si>
    <t>Katleho Mphomela</t>
  </si>
  <si>
    <t>All Members</t>
  </si>
  <si>
    <t>System Architecture Diagram</t>
  </si>
  <si>
    <t xml:space="preserve">Sequence Diagram </t>
  </si>
  <si>
    <t>Entity Relationship Diagram</t>
  </si>
  <si>
    <t>Mobile Application Prototypes</t>
  </si>
  <si>
    <t>Web Application Prototypes</t>
  </si>
  <si>
    <t>Links</t>
  </si>
  <si>
    <t>Updated SRS Document</t>
  </si>
  <si>
    <t>Updated Microsoft Project Schedule</t>
  </si>
  <si>
    <t>GitHub Repository Linl</t>
  </si>
  <si>
    <t>frfrfrf</t>
  </si>
  <si>
    <t>Lucid Chart</t>
  </si>
  <si>
    <t>Figma</t>
  </si>
  <si>
    <t>Mkabela Asande</t>
  </si>
  <si>
    <t>Katleho Mphomela &amp; Asande Mkabela</t>
  </si>
  <si>
    <t>The system architecture diagram was too detailed and fell out of the boundaries of what was expected from the group,the group had to go back and design a system architecture that was required.</t>
  </si>
  <si>
    <t>The Use Case diagram was completed on time and was used to design the next design which is the Sequence diagram</t>
  </si>
  <si>
    <t xml:space="preserve">The Sequence Diagram took a day longer as there was brainstorming amongst the Group Members of how the sequence of the processes would go on the Mobile Application </t>
  </si>
  <si>
    <t xml:space="preserve">The Sequence Diagram took a day longer as there was brainstorming amongst the Group Members of how the sequence of the processes would go on the Web Application </t>
  </si>
  <si>
    <t>The ERD diagram took longer than expected as it turned out to be the design with the most workload as compared to the rest.There was a little bit of confusion which was straightened out during the group's second consultation</t>
  </si>
  <si>
    <t>Flutter interface designs were completed on the planned date using the figma platform. The Use case as well as the sequence diagram were the inputs used to complete the Flutter interface design</t>
  </si>
  <si>
    <t>The ASP.Net interface designs were completed on the planned date using the figma platform. The Use case as well as the sequence diagram were the inputs used to complete the ASP.Net interface design</t>
  </si>
  <si>
    <t>The Updated SRS document was completed on the Planned date and consists of all the architecture and designs that were done during phase 2</t>
  </si>
  <si>
    <t>The Microsoft Project schedule was successfully updated with the accurate dates and also with future plans going forward</t>
  </si>
  <si>
    <t>All the Phase 2 documentations and links were pushed into GitHub by all members.The only task left now is to prepare for the phase 2 presentation which is on the 16th of October</t>
  </si>
  <si>
    <t>The phase 2 presentaion are currently going well and evryone is getting prepared to present their designated part</t>
  </si>
  <si>
    <t>Important Flutter process,Important ASP.NET process</t>
  </si>
  <si>
    <t>Entities, attributes, PKs, FKs, relationships and cardinality. Phase 2 architecture and design section inserted in existing SRS</t>
  </si>
  <si>
    <t>System Architecture Diagram Designer</t>
  </si>
  <si>
    <t>Use case Diagram Designer</t>
  </si>
  <si>
    <t>Sequence Diagram Designer</t>
  </si>
  <si>
    <t>Mobile Application Prototype Designer</t>
  </si>
  <si>
    <t>Web Application Prototype Designer</t>
  </si>
  <si>
    <t>Entity Relationship Diagram Designer</t>
  </si>
  <si>
    <t>Designed the Use Case Diagram with the Actors and their use cases along with the appropiate UML relationships</t>
  </si>
  <si>
    <t>Designed the  overall System Architecture Diagram showing Flutter, ASP.NET and shared Supabase backend</t>
  </si>
  <si>
    <t>Designed a Sequence Diagram showing Important Flutter and ASP.NET processes and sequencing</t>
  </si>
  <si>
    <t>Created a flutter mobile application prototype showing the main mobile screens and sequential navigation</t>
  </si>
  <si>
    <t>Created an ASP.NET web application prototype showing the main web screens and sequential navigation</t>
  </si>
  <si>
    <t>Designed an Entity Relationship Diagram to visually model the data structure and relationships within a database system before writing code</t>
  </si>
  <si>
    <t>Yes</t>
  </si>
  <si>
    <t>The system architecture diagram was too detailed and fell out of the boundaries of what was expected from the group,the group went back and made sure that a correc,accurate architecture diagram was designed and fit for submission</t>
  </si>
  <si>
    <t>The Use Case was not complete during the group's first consultation session but eventually it was completed, fully detailed and verified good for submission</t>
  </si>
  <si>
    <t>The Sequence diagram shows every important process and logical sequence of both the mobile application and the web application</t>
  </si>
  <si>
    <t xml:space="preserve">The Flutter mobile application was accurately detailed giving a proper picture of how the final application would look </t>
  </si>
  <si>
    <t>The initial System architecture was too much detailed and fell out of the boundaries of what was required from the group in terms of the System Architecture Design</t>
  </si>
  <si>
    <t>The Effect of this challenge was not that severe as the group was able to understand the initial design so we went along to design the use case diagram while fixing the System Architecture Design to ensure that it falls within the standard of what was required</t>
  </si>
  <si>
    <t>The responsible student went to fix the System Architecture Design using the provided notes on the School''s blackboard</t>
  </si>
  <si>
    <t>The System architecture was properly fixed to meet the standard of the requirements by the lecturers. The lesson that the group learnt was to use information provided by the lecturers and not rely on external information from platforms like YouTube</t>
  </si>
  <si>
    <t xml:space="preserve">The effect of this challenge was delayed progress as some of the group members were not able to finish their tasks on time due to lack of resources. </t>
  </si>
  <si>
    <t xml:space="preserve">Difficulty of the Group having a physical meeting </t>
  </si>
  <si>
    <t>The group would organise teams meetings and work on their designated taks. If a member wasn't able to complete their tasks, the tasks would be reassigned to another group member until the initial assigned member is back to being able to carry on with their tasks</t>
  </si>
  <si>
    <t>The Corrective Action came to rescue as the group was able to finish their phase 2 tasks before the submission date. The lesson learnt is that challenges will always be there and the most important thing is how they are handled so they don't delay progess dismally</t>
  </si>
  <si>
    <t>High Complexity in the Database Entity Modelling</t>
  </si>
  <si>
    <t xml:space="preserve">The effect of this challenge was very severe as it delayed progress </t>
  </si>
  <si>
    <t>The Group decided to team on this aspect of the project and design a logical and easy to understand ERD while not compromising the important elements of our system</t>
  </si>
  <si>
    <t>Sisekelo Mtshali, All Members</t>
  </si>
  <si>
    <t>The challenge was resolved within time and the group was able to come up with logical ERD.</t>
  </si>
  <si>
    <t>19 Sept 2026 – 12 Oct 2026,</t>
  </si>
  <si>
    <t>The System Architecture, Use Case Diagram, Two Sequence Diagrams, The ERD, Flutter Interfaces, ASP.NET Interfaces, Editable source links, the SRS is Updated, Updated Microsoft Project, GitHub</t>
  </si>
  <si>
    <t>None</t>
  </si>
  <si>
    <t>N/A</t>
  </si>
  <si>
    <t>The Priority of phase 3 is set to setting up Supabase, building Flutter app UI, and developing ASP.NET web admin dashboard.</t>
  </si>
  <si>
    <t>Architecture Design, Use Case Diagram, the two Sequence Diagrams,ERD, Flutter Interfaces, ASP.NET interfaces, Updated SRS, Updated Microsoft Project</t>
  </si>
  <si>
    <t xml:space="preserve">The ASP.NET web application was accurately detailed giving a proper picture of how the final application would look </t>
  </si>
  <si>
    <t>The ERD was accurately designed with clear and easy to understand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</si>
</sst>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5"/>
      <color rgb="FFFFFFFF"/>
      <name val="Carlito"/>
    </font>
    <font>
      <b/>
      <sz val="11"/>
      <color rgb="FFFFFFFF"/>
      <name val="Carlito"/>
    </font>
    <font>
      <b/>
      <sz val="11"/>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1">
    <border>
      <left/>
      <right/>
      <top/>
      <bottom/>
      <diagonal/>
    </border>
  </borders>
  <cellStyleXfs count="1">
    <xf numFmtId="0" fontId="0" fillId="0" borderId="0"/>
  </cellStyleXfs>
  <cellXfs count="21">
    <xf numFmtId="0" fontId="0" fillId="0" borderId="0" xfId="0"/>
    <xf numFmtId="0" fontId="2" fillId="2" borderId="0" xfId="0" applyFont="1" applyFill="1" applyAlignment="1">
      <alignment horizontal="center" vertical="center" wrapText="1"/>
    </xf>
    <xf numFmtId="0" fontId="0" fillId="0" borderId="0" xfId="0" applyAlignment="1">
      <alignment wrapText="1"/>
    </xf>
    <xf numFmtId="0" fontId="3" fillId="4" borderId="0" xfId="0" applyFont="1" applyFill="1"/>
    <xf numFmtId="0" fontId="3" fillId="4" borderId="0" xfId="0" applyFont="1" applyFill="1" applyAlignment="1">
      <alignment wrapText="1"/>
    </xf>
    <xf numFmtId="0" fontId="0" fillId="5" borderId="0" xfId="0" applyFill="1" applyAlignment="1">
      <alignment vertical="top" wrapText="1"/>
    </xf>
    <xf numFmtId="0" fontId="3" fillId="6" borderId="0" xfId="0" applyFont="1" applyFill="1" applyAlignment="1">
      <alignment horizontal="center"/>
    </xf>
    <xf numFmtId="9" fontId="3" fillId="6" borderId="0" xfId="0" applyNumberFormat="1" applyFont="1" applyFill="1" applyAlignment="1">
      <alignment horizontal="center"/>
    </xf>
    <xf numFmtId="9" fontId="0" fillId="5" borderId="0" xfId="0" applyNumberFormat="1" applyFill="1" applyAlignment="1">
      <alignment vertical="top" wrapText="1"/>
    </xf>
    <xf numFmtId="0" fontId="3" fillId="4" borderId="0" xfId="0" applyFont="1" applyFill="1" applyAlignment="1">
      <alignment vertical="top" wrapText="1"/>
    </xf>
    <xf numFmtId="14" fontId="0" fillId="5" borderId="0" xfId="0" applyNumberFormat="1" applyFill="1" applyAlignment="1">
      <alignment vertical="top" wrapText="1"/>
    </xf>
    <xf numFmtId="0" fontId="0" fillId="5" borderId="0" xfId="0" applyFill="1" applyAlignment="1">
      <alignment vertical="top" wrapText="1"/>
    </xf>
    <xf numFmtId="0" fontId="3" fillId="4" borderId="0" xfId="0" applyFont="1" applyFill="1" applyAlignment="1">
      <alignment wrapText="1"/>
    </xf>
    <xf numFmtId="0" fontId="1" fillId="2" borderId="0" xfId="0" applyFont="1" applyFill="1" applyAlignment="1">
      <alignment horizontal="center" vertical="center"/>
    </xf>
    <xf numFmtId="0" fontId="3" fillId="5" borderId="0" xfId="0" applyFont="1" applyFill="1" applyAlignment="1">
      <alignment vertical="top" wrapText="1"/>
    </xf>
    <xf numFmtId="0" fontId="3" fillId="4" borderId="0" xfId="0" applyFont="1" applyFill="1" applyAlignment="1">
      <alignment vertical="top" wrapText="1"/>
    </xf>
    <xf numFmtId="0" fontId="0" fillId="3" borderId="0" xfId="0" applyFill="1" applyAlignment="1">
      <alignment wrapText="1"/>
    </xf>
    <xf numFmtId="0" fontId="2" fillId="2" borderId="0" xfId="0" applyFont="1" applyFill="1"/>
    <xf numFmtId="0" fontId="0" fillId="3" borderId="0" xfId="0" applyFill="1" applyAlignment="1">
      <alignment vertical="top" wrapText="1"/>
    </xf>
    <xf numFmtId="0" fontId="2" fillId="2" borderId="0" xfId="0" applyFont="1" applyFill="1" applyAlignment="1">
      <alignment horizontal="center"/>
    </xf>
    <xf numFmtId="0" fontId="0" fillId="0" borderId="0" xfId="0" applyAlignment="1">
      <alignment horizontal="left" vertical="top"/>
    </xf>
  </cellXfs>
  <cellStyles count="1">
    <cellStyle name="Normal" xfId="0" builtinId="0"/>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A2" workbookViewId="0">
      <selection sqref="A1:F1"/>
    </sheetView>
  </sheetViews>
  <sheetFormatPr defaultRowHeight="14.25"/>
  <cols>
    <col min="1" max="1" width="25" customWidth="1"/>
    <col min="2" max="2" width="38" customWidth="1"/>
    <col min="3" max="3" width="52" customWidth="1"/>
    <col min="4" max="6" width="14" customWidth="1"/>
  </cols>
  <sheetData>
    <row r="1" spans="1:6" ht="33.950000000000003" customHeight="1">
      <c r="A1" s="13" t="s">
        <v>0</v>
      </c>
      <c r="B1" s="13"/>
      <c r="C1" s="13"/>
      <c r="D1" s="13"/>
      <c r="E1" s="13"/>
      <c r="F1" s="13"/>
    </row>
    <row r="2" spans="1:6" ht="33.950000000000003" customHeight="1">
      <c r="A2" s="16" t="s">
        <v>1</v>
      </c>
      <c r="B2" s="16"/>
      <c r="C2" s="16"/>
      <c r="D2" s="16"/>
      <c r="E2" s="16"/>
      <c r="F2" s="16"/>
    </row>
    <row r="4" spans="1:6" ht="30" customHeight="1">
      <c r="A4" s="1" t="s">
        <v>2</v>
      </c>
      <c r="B4" s="1" t="s">
        <v>3</v>
      </c>
      <c r="C4" s="1" t="s">
        <v>4</v>
      </c>
    </row>
    <row r="5" spans="1:6" ht="39.950000000000003" customHeight="1">
      <c r="A5" s="2" t="s">
        <v>5</v>
      </c>
      <c r="B5" s="2" t="s">
        <v>6</v>
      </c>
      <c r="C5" s="2" t="s">
        <v>7</v>
      </c>
    </row>
    <row r="6" spans="1:6" ht="39.950000000000003" customHeight="1">
      <c r="A6" s="2" t="s">
        <v>8</v>
      </c>
      <c r="B6" s="2" t="s">
        <v>9</v>
      </c>
      <c r="C6" s="2" t="s">
        <v>10</v>
      </c>
    </row>
    <row r="7" spans="1:6" ht="39.950000000000003" customHeight="1">
      <c r="A7" s="2" t="s">
        <v>11</v>
      </c>
      <c r="B7" s="2" t="s">
        <v>12</v>
      </c>
      <c r="C7" s="2" t="s">
        <v>13</v>
      </c>
    </row>
    <row r="8" spans="1:6" ht="39.950000000000003" customHeight="1">
      <c r="A8" s="2" t="s">
        <v>14</v>
      </c>
      <c r="B8" s="2" t="s">
        <v>15</v>
      </c>
      <c r="C8" s="2" t="s">
        <v>16</v>
      </c>
    </row>
    <row r="9" spans="1:6" ht="39.950000000000003" customHeight="1">
      <c r="A9" s="2" t="s">
        <v>17</v>
      </c>
      <c r="B9" s="2" t="s">
        <v>18</v>
      </c>
      <c r="C9" s="2" t="s">
        <v>19</v>
      </c>
    </row>
    <row r="10" spans="1:6" ht="39.950000000000003" customHeight="1">
      <c r="A10" s="2" t="s">
        <v>20</v>
      </c>
      <c r="B10" s="2" t="s">
        <v>21</v>
      </c>
      <c r="C10" s="2" t="s">
        <v>22</v>
      </c>
    </row>
    <row r="11" spans="1:6" ht="39.950000000000003" customHeight="1">
      <c r="A11" s="2" t="s">
        <v>23</v>
      </c>
      <c r="B11" s="2" t="s">
        <v>24</v>
      </c>
      <c r="C11" s="2" t="s">
        <v>25</v>
      </c>
    </row>
    <row r="13" spans="1:6" ht="15">
      <c r="A13" s="17" t="s">
        <v>26</v>
      </c>
      <c r="B13" s="17"/>
      <c r="C13" s="17"/>
      <c r="D13" s="17"/>
      <c r="E13" s="17"/>
      <c r="F13" s="17"/>
    </row>
    <row r="14" spans="1:6">
      <c r="A14" s="18" t="s">
        <v>27</v>
      </c>
      <c r="B14" s="18"/>
      <c r="C14" s="18"/>
      <c r="D14" s="18"/>
      <c r="E14" s="18"/>
      <c r="F14" s="18"/>
    </row>
    <row r="15" spans="1:6">
      <c r="A15" s="18"/>
      <c r="B15" s="18"/>
      <c r="C15" s="18"/>
      <c r="D15" s="18"/>
      <c r="E15" s="18"/>
      <c r="F15" s="18"/>
    </row>
    <row r="16" spans="1:6">
      <c r="A16" s="18"/>
      <c r="B16" s="18"/>
      <c r="C16" s="18"/>
      <c r="D16" s="18"/>
      <c r="E16" s="18"/>
      <c r="F16" s="18"/>
    </row>
    <row r="17" spans="1:6">
      <c r="A17" s="18"/>
      <c r="B17" s="18"/>
      <c r="C17" s="18"/>
      <c r="D17" s="18"/>
      <c r="E17" s="18"/>
      <c r="F17" s="18"/>
    </row>
    <row r="18" spans="1:6">
      <c r="A18" s="18"/>
      <c r="B18" s="18"/>
      <c r="C18" s="18"/>
      <c r="D18" s="18"/>
      <c r="E18" s="18"/>
      <c r="F18" s="18"/>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B8" sqref="B8"/>
    </sheetView>
  </sheetViews>
  <sheetFormatPr defaultRowHeight="14.25"/>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3" t="s">
        <v>28</v>
      </c>
      <c r="B1" s="13"/>
      <c r="C1" s="13"/>
      <c r="D1" s="13"/>
      <c r="E1" s="13"/>
      <c r="F1" s="13"/>
      <c r="G1" s="13"/>
      <c r="H1" s="13"/>
    </row>
    <row r="3" spans="1:8" ht="15">
      <c r="A3" s="4" t="s">
        <v>29</v>
      </c>
      <c r="B3" s="5" t="s">
        <v>152</v>
      </c>
      <c r="D3" s="19" t="s">
        <v>30</v>
      </c>
      <c r="E3" s="19"/>
      <c r="F3" s="19"/>
      <c r="G3" s="19"/>
      <c r="H3" s="19"/>
    </row>
    <row r="4" spans="1:8" ht="15">
      <c r="A4" s="4" t="s">
        <v>31</v>
      </c>
      <c r="B4" s="5" t="s">
        <v>153</v>
      </c>
      <c r="D4" s="3" t="s">
        <v>32</v>
      </c>
      <c r="E4" s="6">
        <f>COUNTA('Design Progress'!A4:A33)</f>
        <v>12</v>
      </c>
    </row>
    <row r="5" spans="1:8" ht="15">
      <c r="A5" s="4" t="s">
        <v>33</v>
      </c>
      <c r="B5" s="5" t="s">
        <v>154</v>
      </c>
      <c r="D5" s="3" t="s">
        <v>34</v>
      </c>
      <c r="E5" s="6">
        <f>COUNTIF('Design Progress'!G4:G33,"Completed")</f>
        <v>12</v>
      </c>
    </row>
    <row r="6" spans="1:8" ht="15">
      <c r="A6" s="4" t="s">
        <v>35</v>
      </c>
      <c r="B6" s="5" t="s">
        <v>155</v>
      </c>
      <c r="D6" s="3" t="s">
        <v>36</v>
      </c>
      <c r="E6" s="6">
        <f>COUNTIF('Design Progress'!G4:G33,"In Progress")</f>
        <v>0</v>
      </c>
    </row>
    <row r="7" spans="1:8" ht="15">
      <c r="A7" s="4" t="s">
        <v>37</v>
      </c>
      <c r="B7" s="5">
        <v>6</v>
      </c>
      <c r="D7" s="3" t="s">
        <v>38</v>
      </c>
      <c r="E7" s="6">
        <f>COUNTIF('Design Progress'!G4:G33,"Blocked")</f>
        <v>0</v>
      </c>
    </row>
    <row r="8" spans="1:8" ht="15">
      <c r="A8" s="4" t="s">
        <v>39</v>
      </c>
      <c r="B8" s="5"/>
      <c r="D8" s="3" t="s">
        <v>40</v>
      </c>
      <c r="E8" s="7">
        <f>IFERROR(AVERAGE('Design Progress'!H4:H33),0)</f>
        <v>1</v>
      </c>
    </row>
    <row r="9" spans="1:8" ht="15">
      <c r="A9" s="4" t="s">
        <v>41</v>
      </c>
      <c r="B9" s="5"/>
    </row>
    <row r="10" spans="1:8" ht="15">
      <c r="A10" s="4" t="s">
        <v>42</v>
      </c>
      <c r="B10" s="5" t="s">
        <v>43</v>
      </c>
      <c r="D10" s="17" t="s">
        <v>44</v>
      </c>
      <c r="E10" s="17"/>
      <c r="F10" s="17"/>
      <c r="G10" s="17"/>
      <c r="H10" s="17"/>
    </row>
    <row r="11" spans="1:8">
      <c r="D11" s="18" t="s">
        <v>45</v>
      </c>
      <c r="E11" s="18"/>
      <c r="F11" s="18"/>
      <c r="G11" s="18"/>
      <c r="H11" s="18"/>
    </row>
    <row r="12" spans="1:8">
      <c r="D12" s="18"/>
      <c r="E12" s="18"/>
      <c r="F12" s="18"/>
      <c r="G12" s="18"/>
      <c r="H12" s="18"/>
    </row>
    <row r="13" spans="1:8">
      <c r="D13" s="18"/>
      <c r="E13" s="18"/>
      <c r="F13" s="18"/>
      <c r="G13" s="18"/>
      <c r="H13" s="18"/>
    </row>
    <row r="14" spans="1:8">
      <c r="D14" s="18"/>
      <c r="E14" s="18"/>
      <c r="F14" s="18"/>
      <c r="G14" s="18"/>
      <c r="H14" s="18"/>
    </row>
    <row r="15" spans="1:8">
      <c r="D15" s="18"/>
      <c r="E15" s="18"/>
      <c r="F15" s="18"/>
      <c r="G15" s="18"/>
      <c r="H15" s="18"/>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opLeftCell="C1" workbookViewId="0">
      <selection activeCell="F9" sqref="F9"/>
    </sheetView>
  </sheetViews>
  <sheetFormatPr defaultRowHeight="14.25"/>
  <cols>
    <col min="1" max="1" width="11" customWidth="1"/>
    <col min="2" max="2" width="26" customWidth="1"/>
    <col min="3" max="3" width="44" customWidth="1"/>
    <col min="4" max="4" width="25" customWidth="1"/>
    <col min="5" max="7" width="15" customWidth="1"/>
    <col min="8" max="8" width="12" customWidth="1"/>
    <col min="9" max="10" width="34" customWidth="1"/>
  </cols>
  <sheetData>
    <row r="1" spans="1:10" ht="33.950000000000003" customHeight="1">
      <c r="A1" s="13" t="s">
        <v>46</v>
      </c>
      <c r="B1" s="13"/>
      <c r="C1" s="13"/>
      <c r="D1" s="13"/>
      <c r="E1" s="13"/>
      <c r="F1" s="13"/>
      <c r="G1" s="13"/>
      <c r="H1" s="13"/>
      <c r="I1" s="13"/>
      <c r="J1" s="13"/>
    </row>
    <row r="3" spans="1:10" ht="30" customHeight="1">
      <c r="A3" s="1" t="s">
        <v>47</v>
      </c>
      <c r="B3" s="1" t="s">
        <v>48</v>
      </c>
      <c r="C3" s="1" t="s">
        <v>49</v>
      </c>
      <c r="D3" s="1" t="s">
        <v>50</v>
      </c>
      <c r="E3" s="1" t="s">
        <v>51</v>
      </c>
      <c r="F3" s="1" t="s">
        <v>52</v>
      </c>
      <c r="G3" s="1" t="s">
        <v>53</v>
      </c>
      <c r="H3" s="1" t="s">
        <v>54</v>
      </c>
      <c r="I3" s="1" t="s">
        <v>55</v>
      </c>
      <c r="J3" s="1" t="s">
        <v>56</v>
      </c>
    </row>
    <row r="4" spans="1:10" ht="85.5">
      <c r="A4" s="2" t="s">
        <v>57</v>
      </c>
      <c r="B4" s="2" t="s">
        <v>58</v>
      </c>
      <c r="C4" s="2" t="s">
        <v>59</v>
      </c>
      <c r="D4" s="5" t="s">
        <v>156</v>
      </c>
      <c r="E4" s="10">
        <v>46283</v>
      </c>
      <c r="F4" s="10">
        <v>46301</v>
      </c>
      <c r="G4" s="5" t="s">
        <v>34</v>
      </c>
      <c r="H4" s="8">
        <v>1</v>
      </c>
      <c r="I4" s="5" t="s">
        <v>162</v>
      </c>
      <c r="J4" s="5" t="s">
        <v>176</v>
      </c>
    </row>
    <row r="5" spans="1:10" ht="57">
      <c r="A5" s="2" t="s">
        <v>60</v>
      </c>
      <c r="B5" s="2" t="s">
        <v>61</v>
      </c>
      <c r="C5" s="2" t="s">
        <v>62</v>
      </c>
      <c r="D5" s="5" t="s">
        <v>157</v>
      </c>
      <c r="E5" s="10">
        <v>46285</v>
      </c>
      <c r="F5" s="10">
        <v>46285</v>
      </c>
      <c r="G5" s="5" t="s">
        <v>34</v>
      </c>
      <c r="H5" s="8">
        <v>1</v>
      </c>
      <c r="I5" s="5" t="s">
        <v>61</v>
      </c>
      <c r="J5" s="5" t="s">
        <v>177</v>
      </c>
    </row>
    <row r="6" spans="1:10" ht="71.25">
      <c r="A6" s="2" t="s">
        <v>63</v>
      </c>
      <c r="B6" s="2" t="s">
        <v>64</v>
      </c>
      <c r="C6" s="2" t="s">
        <v>65</v>
      </c>
      <c r="D6" s="5" t="s">
        <v>158</v>
      </c>
      <c r="E6" s="10">
        <v>46288</v>
      </c>
      <c r="F6" s="10">
        <v>46289</v>
      </c>
      <c r="G6" s="5" t="s">
        <v>34</v>
      </c>
      <c r="H6" s="8">
        <v>1</v>
      </c>
      <c r="I6" s="5" t="s">
        <v>163</v>
      </c>
      <c r="J6" s="5" t="s">
        <v>178</v>
      </c>
    </row>
    <row r="7" spans="1:10" ht="71.25">
      <c r="A7" s="2" t="s">
        <v>66</v>
      </c>
      <c r="B7" s="2" t="s">
        <v>67</v>
      </c>
      <c r="C7" s="2" t="s">
        <v>68</v>
      </c>
      <c r="D7" s="5" t="s">
        <v>158</v>
      </c>
      <c r="E7" s="10">
        <v>46288</v>
      </c>
      <c r="F7" s="10">
        <v>46289</v>
      </c>
      <c r="G7" s="5" t="s">
        <v>34</v>
      </c>
      <c r="H7" s="8">
        <v>1</v>
      </c>
      <c r="I7" s="5" t="s">
        <v>163</v>
      </c>
      <c r="J7" s="5" t="s">
        <v>179</v>
      </c>
    </row>
    <row r="8" spans="1:10" ht="99.75">
      <c r="A8" s="2" t="s">
        <v>69</v>
      </c>
      <c r="B8" s="2" t="s">
        <v>70</v>
      </c>
      <c r="C8" s="2" t="s">
        <v>71</v>
      </c>
      <c r="D8" s="5" t="s">
        <v>159</v>
      </c>
      <c r="E8" s="10">
        <v>46288</v>
      </c>
      <c r="F8" s="10">
        <v>46301</v>
      </c>
      <c r="G8" s="5" t="s">
        <v>34</v>
      </c>
      <c r="H8" s="8">
        <v>1</v>
      </c>
      <c r="I8" s="5" t="s">
        <v>164</v>
      </c>
      <c r="J8" s="5" t="s">
        <v>180</v>
      </c>
    </row>
    <row r="9" spans="1:10" ht="85.5">
      <c r="A9" s="2" t="s">
        <v>72</v>
      </c>
      <c r="B9" s="2" t="s">
        <v>73</v>
      </c>
      <c r="C9" s="2" t="s">
        <v>74</v>
      </c>
      <c r="D9" s="5" t="s">
        <v>160</v>
      </c>
      <c r="E9" s="10">
        <v>46304</v>
      </c>
      <c r="F9" s="10">
        <v>46304</v>
      </c>
      <c r="G9" s="5" t="s">
        <v>34</v>
      </c>
      <c r="H9" s="8">
        <v>1</v>
      </c>
      <c r="I9" s="5" t="s">
        <v>165</v>
      </c>
      <c r="J9" s="5" t="s">
        <v>181</v>
      </c>
    </row>
    <row r="10" spans="1:10" ht="85.5">
      <c r="A10" s="2" t="s">
        <v>75</v>
      </c>
      <c r="B10" s="2" t="s">
        <v>76</v>
      </c>
      <c r="C10" s="2" t="s">
        <v>77</v>
      </c>
      <c r="D10" s="5" t="s">
        <v>155</v>
      </c>
      <c r="E10" s="10">
        <v>46304</v>
      </c>
      <c r="F10" s="10">
        <v>46304</v>
      </c>
      <c r="G10" s="5" t="s">
        <v>34</v>
      </c>
      <c r="H10" s="8">
        <v>1</v>
      </c>
      <c r="I10" s="5" t="s">
        <v>166</v>
      </c>
      <c r="J10" s="5" t="s">
        <v>182</v>
      </c>
    </row>
    <row r="11" spans="1:10" ht="28.5">
      <c r="A11" s="2" t="s">
        <v>78</v>
      </c>
      <c r="B11" s="2" t="s">
        <v>79</v>
      </c>
      <c r="C11" s="2" t="s">
        <v>80</v>
      </c>
      <c r="D11" s="5" t="s">
        <v>161</v>
      </c>
      <c r="E11" s="10">
        <v>46305</v>
      </c>
      <c r="F11" s="10">
        <v>46305</v>
      </c>
      <c r="G11" s="5" t="s">
        <v>34</v>
      </c>
      <c r="H11" s="8">
        <v>1</v>
      </c>
      <c r="I11" s="5" t="s">
        <v>167</v>
      </c>
      <c r="J11" s="5" t="s">
        <v>171</v>
      </c>
    </row>
    <row r="12" spans="1:10" ht="57">
      <c r="A12" s="2" t="s">
        <v>81</v>
      </c>
      <c r="B12" s="2" t="s">
        <v>82</v>
      </c>
      <c r="C12" s="2" t="s">
        <v>83</v>
      </c>
      <c r="D12" s="5" t="s">
        <v>159</v>
      </c>
      <c r="E12" s="10">
        <v>46305</v>
      </c>
      <c r="F12" s="10">
        <v>46305</v>
      </c>
      <c r="G12" s="5" t="s">
        <v>34</v>
      </c>
      <c r="H12" s="8">
        <v>1</v>
      </c>
      <c r="I12" s="5" t="s">
        <v>168</v>
      </c>
      <c r="J12" s="5" t="s">
        <v>183</v>
      </c>
    </row>
    <row r="13" spans="1:10" ht="57">
      <c r="A13" s="2" t="s">
        <v>84</v>
      </c>
      <c r="B13" s="2" t="s">
        <v>85</v>
      </c>
      <c r="C13" s="2" t="s">
        <v>86</v>
      </c>
      <c r="D13" s="5" t="s">
        <v>155</v>
      </c>
      <c r="E13" s="10">
        <v>46305</v>
      </c>
      <c r="F13" s="10">
        <v>46306</v>
      </c>
      <c r="G13" s="5" t="s">
        <v>34</v>
      </c>
      <c r="H13" s="8">
        <v>1</v>
      </c>
      <c r="I13" s="5" t="s">
        <v>169</v>
      </c>
      <c r="J13" s="5" t="s">
        <v>184</v>
      </c>
    </row>
    <row r="14" spans="1:10" ht="71.25">
      <c r="A14" s="2" t="s">
        <v>87</v>
      </c>
      <c r="B14" s="2" t="s">
        <v>88</v>
      </c>
      <c r="C14" s="2" t="s">
        <v>89</v>
      </c>
      <c r="D14" s="5" t="s">
        <v>161</v>
      </c>
      <c r="E14" s="10">
        <v>46306</v>
      </c>
      <c r="F14" s="10">
        <v>46306</v>
      </c>
      <c r="G14" s="5" t="s">
        <v>34</v>
      </c>
      <c r="H14" s="8">
        <v>1</v>
      </c>
      <c r="I14" s="5" t="s">
        <v>170</v>
      </c>
      <c r="J14" s="5" t="s">
        <v>185</v>
      </c>
    </row>
    <row r="15" spans="1:10" ht="57">
      <c r="A15" s="2" t="s">
        <v>90</v>
      </c>
      <c r="B15" s="2" t="s">
        <v>91</v>
      </c>
      <c r="C15" s="2" t="s">
        <v>92</v>
      </c>
      <c r="D15" s="5" t="s">
        <v>161</v>
      </c>
      <c r="E15" s="10">
        <v>46310</v>
      </c>
      <c r="F15" s="10">
        <v>46310</v>
      </c>
      <c r="G15" s="5" t="s">
        <v>34</v>
      </c>
      <c r="H15" s="8">
        <v>1</v>
      </c>
      <c r="I15" s="5" t="s">
        <v>91</v>
      </c>
      <c r="J15" s="5" t="s">
        <v>186</v>
      </c>
    </row>
    <row r="16" spans="1:10">
      <c r="A16" s="2"/>
      <c r="B16" s="2"/>
      <c r="C16" s="2"/>
      <c r="D16" s="5"/>
      <c r="E16" s="5"/>
      <c r="F16" s="5"/>
      <c r="G16" s="5"/>
      <c r="H16" s="8"/>
      <c r="I16" s="5"/>
      <c r="J16" s="5"/>
    </row>
    <row r="17" spans="1:10">
      <c r="A17" s="2"/>
      <c r="B17" s="2"/>
      <c r="C17" s="2"/>
      <c r="D17" s="5"/>
      <c r="E17" s="5"/>
      <c r="F17" s="5"/>
      <c r="G17" s="5"/>
      <c r="H17" s="8"/>
      <c r="I17" s="5"/>
      <c r="J17" s="5"/>
    </row>
    <row r="18" spans="1:10">
      <c r="A18" s="2"/>
      <c r="B18" s="2"/>
      <c r="C18" s="2"/>
      <c r="D18" s="5"/>
      <c r="E18" s="5"/>
      <c r="F18" s="5"/>
      <c r="G18" s="5"/>
      <c r="H18" s="8"/>
      <c r="I18" s="5"/>
      <c r="J18" s="5"/>
    </row>
    <row r="19" spans="1:10">
      <c r="A19" s="2"/>
      <c r="B19" s="2"/>
      <c r="C19" s="2"/>
      <c r="D19" s="5"/>
      <c r="E19" s="5"/>
      <c r="F19" s="5"/>
      <c r="G19" s="5"/>
      <c r="H19" s="8"/>
      <c r="I19" s="5"/>
      <c r="J19" s="5"/>
    </row>
    <row r="20" spans="1:10">
      <c r="A20" s="2"/>
      <c r="B20" s="2"/>
      <c r="C20" s="2"/>
      <c r="D20" s="5"/>
      <c r="E20" s="5"/>
      <c r="F20" s="5"/>
      <c r="G20" s="5"/>
      <c r="H20" s="8"/>
      <c r="I20" s="5"/>
      <c r="J20" s="5"/>
    </row>
    <row r="21" spans="1:10">
      <c r="A21" s="2"/>
      <c r="B21" s="2"/>
      <c r="C21" s="2"/>
      <c r="D21" s="5"/>
      <c r="E21" s="5"/>
      <c r="F21" s="5"/>
      <c r="G21" s="5"/>
      <c r="H21" s="8"/>
      <c r="I21" s="5"/>
      <c r="J21" s="5"/>
    </row>
    <row r="22" spans="1:10">
      <c r="A22" s="2"/>
      <c r="B22" s="2"/>
      <c r="C22" s="2"/>
      <c r="D22" s="5"/>
      <c r="E22" s="5"/>
      <c r="F22" s="5"/>
      <c r="G22" s="5"/>
      <c r="H22" s="8"/>
      <c r="I22" s="5"/>
      <c r="J22" s="5"/>
    </row>
    <row r="23" spans="1:10">
      <c r="A23" s="2"/>
      <c r="B23" s="2"/>
      <c r="C23" s="2"/>
      <c r="D23" s="5"/>
      <c r="E23" s="5"/>
      <c r="F23" s="5"/>
      <c r="G23" s="5"/>
      <c r="H23" s="8"/>
      <c r="I23" s="5"/>
      <c r="J23" s="5"/>
    </row>
    <row r="24" spans="1:10">
      <c r="A24" s="2"/>
      <c r="B24" s="2"/>
      <c r="C24" s="2"/>
      <c r="D24" s="5"/>
      <c r="E24" s="5"/>
      <c r="F24" s="5"/>
      <c r="G24" s="5"/>
      <c r="H24" s="8"/>
      <c r="I24" s="5"/>
      <c r="J24" s="5"/>
    </row>
    <row r="25" spans="1:10">
      <c r="A25" s="2"/>
      <c r="B25" s="2"/>
      <c r="C25" s="2"/>
      <c r="D25" s="5"/>
      <c r="E25" s="5"/>
      <c r="F25" s="5"/>
      <c r="G25" s="5"/>
      <c r="H25" s="8"/>
      <c r="I25" s="5"/>
      <c r="J25" s="5"/>
    </row>
    <row r="26" spans="1:10">
      <c r="A26" s="2"/>
      <c r="B26" s="2"/>
      <c r="C26" s="2"/>
      <c r="D26" s="5"/>
      <c r="E26" s="5"/>
      <c r="F26" s="5"/>
      <c r="G26" s="5"/>
      <c r="H26" s="8"/>
      <c r="I26" s="5"/>
      <c r="J26" s="5"/>
    </row>
    <row r="27" spans="1:10">
      <c r="A27" s="2"/>
      <c r="B27" s="2"/>
      <c r="C27" s="2"/>
      <c r="D27" s="5"/>
      <c r="E27" s="5"/>
      <c r="F27" s="5"/>
      <c r="G27" s="5"/>
      <c r="H27" s="8"/>
      <c r="I27" s="5"/>
      <c r="J27" s="5"/>
    </row>
    <row r="28" spans="1:10">
      <c r="A28" s="2"/>
      <c r="B28" s="2"/>
      <c r="C28" s="2"/>
      <c r="D28" s="5"/>
      <c r="E28" s="5"/>
      <c r="F28" s="5"/>
      <c r="G28" s="5"/>
      <c r="H28" s="8"/>
      <c r="I28" s="5"/>
      <c r="J28" s="5"/>
    </row>
    <row r="29" spans="1:10">
      <c r="A29" s="2"/>
      <c r="B29" s="2"/>
      <c r="C29" s="2"/>
      <c r="D29" s="5"/>
      <c r="E29" s="5"/>
      <c r="F29" s="5"/>
      <c r="G29" s="5"/>
      <c r="H29" s="8"/>
      <c r="I29" s="5"/>
      <c r="J29" s="5"/>
    </row>
    <row r="30" spans="1:10">
      <c r="A30" s="2"/>
      <c r="B30" s="2"/>
      <c r="C30" s="2"/>
      <c r="D30" s="5"/>
      <c r="E30" s="5"/>
      <c r="F30" s="5"/>
      <c r="G30" s="5"/>
      <c r="H30" s="8"/>
      <c r="I30" s="5"/>
      <c r="J30" s="5"/>
    </row>
    <row r="31" spans="1:10">
      <c r="A31" s="2"/>
      <c r="B31" s="2"/>
      <c r="C31" s="2"/>
      <c r="D31" s="5"/>
      <c r="E31" s="5"/>
      <c r="F31" s="5"/>
      <c r="G31" s="5"/>
      <c r="H31" s="8"/>
      <c r="I31" s="5"/>
      <c r="J31" s="5"/>
    </row>
    <row r="32" spans="1:10">
      <c r="A32" s="2"/>
      <c r="B32" s="2"/>
      <c r="C32" s="2"/>
      <c r="D32" s="5"/>
      <c r="E32" s="5"/>
      <c r="F32" s="5"/>
      <c r="G32" s="5"/>
      <c r="H32" s="8"/>
      <c r="I32" s="5"/>
      <c r="J32" s="5"/>
    </row>
    <row r="33" spans="1:10">
      <c r="A33" s="2"/>
      <c r="B33" s="2"/>
      <c r="C33" s="2"/>
      <c r="D33" s="5"/>
      <c r="E33" s="5"/>
      <c r="F33" s="5"/>
      <c r="G33" s="5"/>
      <c r="H33" s="8"/>
      <c r="I33" s="5"/>
      <c r="J33" s="5"/>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3">
      <dataBar>
        <cfvo type="min"/>
        <cfvo type="max"/>
        <color rgb="FFA02B93"/>
      </dataBar>
    </cfRule>
    <cfRule type="dataBar" priority="4">
      <dataBar>
        <cfvo type="min"/>
        <cfvo type="max"/>
        <color rgb="FFA02B93"/>
      </dataBar>
      <extLst>
        <ext xmlns:x14="http://schemas.microsoft.com/office/spreadsheetml/2009/9/main" uri="{B025F937-C7B1-47D3-B67F-A62EFF666E3E}">
          <x14:id>{A4682585-4117-09FE-7F56-FC8BDAE995FA}</x14:id>
        </ext>
      </extLst>
    </cfRule>
  </conditionalFormatting>
  <dataValidations count="1">
    <dataValidation type="list" sqref="G4:G33" xr:uid="{00000000-0002-0000-0200-000000000000}">
      <formula1>"Not Started,In Progress,Completed,Blocked"</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E1" workbookViewId="0">
      <selection activeCell="L12" sqref="L12"/>
    </sheetView>
  </sheetViews>
  <sheetFormatPr defaultRowHeight="14.25"/>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950000000000003" customHeight="1">
      <c r="A1" s="13" t="s">
        <v>93</v>
      </c>
      <c r="B1" s="13"/>
      <c r="C1" s="13"/>
      <c r="D1" s="13"/>
      <c r="E1" s="13"/>
      <c r="F1" s="13"/>
      <c r="G1" s="13"/>
      <c r="H1" s="13"/>
      <c r="I1" s="13"/>
      <c r="J1" s="13"/>
      <c r="K1" s="13"/>
      <c r="L1" s="13"/>
    </row>
    <row r="3" spans="1:12" ht="30" customHeight="1">
      <c r="A3" s="1" t="s">
        <v>94</v>
      </c>
      <c r="B3" s="1" t="s">
        <v>95</v>
      </c>
      <c r="C3" s="1" t="s">
        <v>96</v>
      </c>
      <c r="D3" s="1" t="s">
        <v>97</v>
      </c>
      <c r="E3" s="1" t="s">
        <v>98</v>
      </c>
      <c r="F3" s="1" t="s">
        <v>99</v>
      </c>
      <c r="G3" s="1" t="s">
        <v>100</v>
      </c>
      <c r="H3" s="1" t="s">
        <v>55</v>
      </c>
      <c r="I3" s="1" t="s">
        <v>101</v>
      </c>
      <c r="J3" s="1" t="s">
        <v>102</v>
      </c>
      <c r="K3" s="1" t="s">
        <v>103</v>
      </c>
      <c r="L3" s="1" t="s">
        <v>104</v>
      </c>
    </row>
    <row r="4" spans="1:12" ht="99.75">
      <c r="A4" s="5" t="s">
        <v>156</v>
      </c>
      <c r="B4" s="5"/>
      <c r="C4" s="5" t="s">
        <v>59</v>
      </c>
      <c r="D4" s="5" t="s">
        <v>189</v>
      </c>
      <c r="E4" s="5" t="s">
        <v>196</v>
      </c>
      <c r="F4" s="5"/>
      <c r="G4" s="5"/>
      <c r="H4" s="5"/>
      <c r="I4" s="5" t="s">
        <v>201</v>
      </c>
      <c r="J4" s="10">
        <v>46301</v>
      </c>
      <c r="K4" s="5" t="s">
        <v>202</v>
      </c>
      <c r="L4" s="5" t="s">
        <v>34</v>
      </c>
    </row>
    <row r="5" spans="1:12" ht="71.25">
      <c r="A5" s="5" t="s">
        <v>157</v>
      </c>
      <c r="B5" s="5">
        <v>224120586</v>
      </c>
      <c r="C5" s="5" t="s">
        <v>62</v>
      </c>
      <c r="D5" s="5" t="s">
        <v>190</v>
      </c>
      <c r="E5" s="5" t="s">
        <v>195</v>
      </c>
      <c r="F5" s="5"/>
      <c r="G5" s="5"/>
      <c r="H5" s="5"/>
      <c r="I5" s="5" t="s">
        <v>201</v>
      </c>
      <c r="J5" s="10">
        <v>46285</v>
      </c>
      <c r="K5" s="5" t="s">
        <v>203</v>
      </c>
      <c r="L5" s="5" t="s">
        <v>34</v>
      </c>
    </row>
    <row r="6" spans="1:12" ht="57">
      <c r="A6" s="5" t="s">
        <v>158</v>
      </c>
      <c r="B6" s="5">
        <v>224049675</v>
      </c>
      <c r="C6" s="5" t="s">
        <v>187</v>
      </c>
      <c r="D6" s="5" t="s">
        <v>191</v>
      </c>
      <c r="E6" s="5" t="s">
        <v>197</v>
      </c>
      <c r="F6" s="5"/>
      <c r="G6" s="5"/>
      <c r="H6" s="5"/>
      <c r="I6" s="5" t="s">
        <v>201</v>
      </c>
      <c r="J6" s="10">
        <v>46289</v>
      </c>
      <c r="K6" s="5" t="s">
        <v>204</v>
      </c>
      <c r="L6" s="5" t="s">
        <v>34</v>
      </c>
    </row>
    <row r="7" spans="1:12" ht="57">
      <c r="A7" s="5" t="s">
        <v>160</v>
      </c>
      <c r="B7" s="5">
        <v>224005352</v>
      </c>
      <c r="C7" s="5" t="s">
        <v>74</v>
      </c>
      <c r="D7" s="5" t="s">
        <v>192</v>
      </c>
      <c r="E7" s="5" t="s">
        <v>198</v>
      </c>
      <c r="F7" s="5"/>
      <c r="G7" s="5"/>
      <c r="H7" s="5"/>
      <c r="I7" s="5" t="s">
        <v>201</v>
      </c>
      <c r="J7" s="10">
        <v>46304</v>
      </c>
      <c r="K7" s="5" t="s">
        <v>205</v>
      </c>
      <c r="L7" s="5" t="s">
        <v>34</v>
      </c>
    </row>
    <row r="8" spans="1:12" ht="57">
      <c r="A8" s="5" t="s">
        <v>155</v>
      </c>
      <c r="B8" s="5">
        <v>224063746</v>
      </c>
      <c r="C8" s="5" t="s">
        <v>77</v>
      </c>
      <c r="D8" s="5" t="s">
        <v>193</v>
      </c>
      <c r="E8" s="5" t="s">
        <v>199</v>
      </c>
      <c r="F8" s="5"/>
      <c r="G8" s="5"/>
      <c r="H8" s="5"/>
      <c r="I8" s="5" t="s">
        <v>201</v>
      </c>
      <c r="J8" s="10">
        <v>46304</v>
      </c>
      <c r="K8" s="5" t="s">
        <v>225</v>
      </c>
      <c r="L8" s="5" t="s">
        <v>34</v>
      </c>
    </row>
    <row r="9" spans="1:12" ht="85.5">
      <c r="A9" s="5" t="s">
        <v>159</v>
      </c>
      <c r="B9" s="5">
        <v>224124382</v>
      </c>
      <c r="C9" s="5" t="s">
        <v>188</v>
      </c>
      <c r="D9" s="5" t="s">
        <v>194</v>
      </c>
      <c r="E9" s="5" t="s">
        <v>200</v>
      </c>
      <c r="F9" s="5"/>
      <c r="G9" s="5"/>
      <c r="H9" s="5"/>
      <c r="I9" s="5" t="s">
        <v>201</v>
      </c>
      <c r="J9" s="10">
        <v>46301</v>
      </c>
      <c r="K9" s="5" t="s">
        <v>226</v>
      </c>
      <c r="L9" s="5" t="s">
        <v>34</v>
      </c>
    </row>
    <row r="10" spans="1:12">
      <c r="A10" s="5"/>
      <c r="B10" s="5"/>
      <c r="C10" s="5"/>
      <c r="D10" s="5"/>
      <c r="E10" s="5"/>
      <c r="F10" s="5"/>
      <c r="G10" s="5"/>
      <c r="H10" s="5"/>
      <c r="I10" s="5" t="s">
        <v>105</v>
      </c>
      <c r="J10" s="5"/>
      <c r="K10" s="5"/>
      <c r="L10" s="5" t="s">
        <v>43</v>
      </c>
    </row>
    <row r="11" spans="1:12">
      <c r="A11" s="5"/>
      <c r="B11" s="5"/>
      <c r="C11" s="5"/>
      <c r="D11" s="5"/>
      <c r="E11" s="5"/>
      <c r="F11" s="5"/>
      <c r="G11" s="5"/>
      <c r="H11" s="5"/>
      <c r="I11" s="5" t="s">
        <v>105</v>
      </c>
      <c r="J11" s="5"/>
      <c r="K11" s="5"/>
      <c r="L11" s="5" t="s">
        <v>43</v>
      </c>
    </row>
    <row r="12" spans="1:12">
      <c r="A12" s="5"/>
      <c r="B12" s="5"/>
      <c r="C12" s="5"/>
      <c r="D12" s="5"/>
      <c r="E12" s="5"/>
      <c r="F12" s="5"/>
      <c r="G12" s="5"/>
      <c r="H12" s="5"/>
      <c r="I12" s="5" t="s">
        <v>105</v>
      </c>
      <c r="J12" s="5"/>
      <c r="K12" s="5"/>
      <c r="L12" s="5" t="s">
        <v>43</v>
      </c>
    </row>
    <row r="13" spans="1:12">
      <c r="A13" s="5"/>
      <c r="B13" s="5"/>
      <c r="C13" s="5"/>
      <c r="D13" s="5"/>
      <c r="E13" s="5"/>
      <c r="F13" s="5"/>
      <c r="G13" s="5"/>
      <c r="H13" s="5"/>
      <c r="I13" s="5" t="s">
        <v>105</v>
      </c>
      <c r="J13" s="5"/>
      <c r="K13" s="5"/>
      <c r="L13" s="5" t="s">
        <v>43</v>
      </c>
    </row>
    <row r="14" spans="1:12">
      <c r="A14" s="5"/>
      <c r="B14" s="5"/>
      <c r="C14" s="5"/>
      <c r="D14" s="5"/>
      <c r="E14" s="5"/>
      <c r="F14" s="5"/>
      <c r="G14" s="5"/>
      <c r="H14" s="5"/>
      <c r="I14" s="5" t="s">
        <v>105</v>
      </c>
      <c r="J14" s="5"/>
      <c r="K14" s="5"/>
      <c r="L14" s="5" t="s">
        <v>43</v>
      </c>
    </row>
    <row r="15" spans="1:12">
      <c r="A15" s="5"/>
      <c r="B15" s="5"/>
      <c r="C15" s="5"/>
      <c r="D15" s="5"/>
      <c r="E15" s="5"/>
      <c r="F15" s="5"/>
      <c r="G15" s="5"/>
      <c r="H15" s="5"/>
      <c r="I15" s="5" t="s">
        <v>105</v>
      </c>
      <c r="J15" s="5"/>
      <c r="K15" s="5"/>
      <c r="L15" s="5" t="s">
        <v>43</v>
      </c>
    </row>
    <row r="16" spans="1:12">
      <c r="A16" s="5"/>
      <c r="B16" s="5"/>
      <c r="C16" s="5"/>
      <c r="D16" s="5"/>
      <c r="E16" s="5"/>
      <c r="F16" s="5"/>
      <c r="G16" s="5"/>
      <c r="H16" s="5"/>
      <c r="I16" s="5" t="s">
        <v>105</v>
      </c>
      <c r="J16" s="5"/>
      <c r="K16" s="5"/>
      <c r="L16" s="5" t="s">
        <v>43</v>
      </c>
    </row>
    <row r="17" spans="1:12">
      <c r="A17" s="5"/>
      <c r="B17" s="5"/>
      <c r="C17" s="5"/>
      <c r="D17" s="5"/>
      <c r="E17" s="5"/>
      <c r="F17" s="5"/>
      <c r="G17" s="5"/>
      <c r="H17" s="5"/>
      <c r="I17" s="5" t="s">
        <v>105</v>
      </c>
      <c r="J17" s="5"/>
      <c r="K17" s="5"/>
      <c r="L17" s="5" t="s">
        <v>43</v>
      </c>
    </row>
    <row r="18" spans="1:12">
      <c r="A18" s="5"/>
      <c r="B18" s="5"/>
      <c r="C18" s="5"/>
      <c r="D18" s="5"/>
      <c r="E18" s="5"/>
      <c r="F18" s="5"/>
      <c r="G18" s="5"/>
      <c r="H18" s="5"/>
      <c r="I18" s="5" t="s">
        <v>105</v>
      </c>
      <c r="J18" s="5"/>
      <c r="K18" s="5"/>
      <c r="L18" s="5" t="s">
        <v>43</v>
      </c>
    </row>
    <row r="19" spans="1:12">
      <c r="A19" s="5"/>
      <c r="B19" s="5"/>
      <c r="C19" s="5"/>
      <c r="D19" s="5"/>
      <c r="E19" s="5"/>
      <c r="F19" s="5"/>
      <c r="G19" s="5"/>
      <c r="H19" s="5"/>
      <c r="I19" s="5" t="s">
        <v>105</v>
      </c>
      <c r="J19" s="5"/>
      <c r="K19" s="5"/>
      <c r="L19" s="5" t="s">
        <v>43</v>
      </c>
    </row>
    <row r="20" spans="1:12">
      <c r="A20" s="5"/>
      <c r="B20" s="5"/>
      <c r="C20" s="5"/>
      <c r="D20" s="5"/>
      <c r="E20" s="5"/>
      <c r="F20" s="5"/>
      <c r="G20" s="5"/>
      <c r="H20" s="5"/>
      <c r="I20" s="5" t="s">
        <v>105</v>
      </c>
      <c r="J20" s="5"/>
      <c r="K20" s="5"/>
      <c r="L20" s="5" t="s">
        <v>43</v>
      </c>
    </row>
    <row r="21" spans="1:12">
      <c r="A21" s="5"/>
      <c r="B21" s="5"/>
      <c r="C21" s="5"/>
      <c r="D21" s="5"/>
      <c r="E21" s="5"/>
      <c r="F21" s="5"/>
      <c r="G21" s="5"/>
      <c r="H21" s="5"/>
      <c r="I21" s="5" t="s">
        <v>105</v>
      </c>
      <c r="J21" s="5"/>
      <c r="K21" s="5"/>
      <c r="L21" s="5" t="s">
        <v>43</v>
      </c>
    </row>
    <row r="22" spans="1:12">
      <c r="A22" s="5"/>
      <c r="B22" s="5"/>
      <c r="C22" s="5"/>
      <c r="D22" s="5"/>
      <c r="E22" s="5"/>
      <c r="F22" s="5"/>
      <c r="G22" s="5"/>
      <c r="H22" s="5"/>
      <c r="I22" s="5" t="s">
        <v>105</v>
      </c>
      <c r="J22" s="5"/>
      <c r="K22" s="5"/>
      <c r="L22" s="5" t="s">
        <v>43</v>
      </c>
    </row>
    <row r="23" spans="1:12">
      <c r="A23" s="5"/>
      <c r="B23" s="5"/>
      <c r="C23" s="5"/>
      <c r="D23" s="5"/>
      <c r="E23" s="5"/>
      <c r="F23" s="5"/>
      <c r="G23" s="5"/>
      <c r="H23" s="5"/>
      <c r="I23" s="5" t="s">
        <v>105</v>
      </c>
      <c r="J23" s="5"/>
      <c r="K23" s="5"/>
      <c r="L23" s="5" t="s">
        <v>43</v>
      </c>
    </row>
    <row r="24" spans="1:12">
      <c r="A24" s="5"/>
      <c r="B24" s="5"/>
      <c r="C24" s="5"/>
      <c r="D24" s="5"/>
      <c r="E24" s="5"/>
      <c r="F24" s="5"/>
      <c r="G24" s="5"/>
      <c r="H24" s="5"/>
      <c r="I24" s="5" t="s">
        <v>105</v>
      </c>
      <c r="J24" s="5"/>
      <c r="K24" s="5"/>
      <c r="L24" s="5" t="s">
        <v>43</v>
      </c>
    </row>
    <row r="25" spans="1:12">
      <c r="A25" s="5"/>
      <c r="B25" s="5"/>
      <c r="C25" s="5"/>
      <c r="D25" s="5"/>
      <c r="E25" s="5"/>
      <c r="F25" s="5"/>
      <c r="G25" s="5"/>
      <c r="H25" s="5"/>
      <c r="I25" s="5" t="s">
        <v>105</v>
      </c>
      <c r="J25" s="5"/>
      <c r="K25" s="5"/>
      <c r="L25" s="5" t="s">
        <v>43</v>
      </c>
    </row>
    <row r="26" spans="1:12">
      <c r="A26" s="5"/>
      <c r="B26" s="5"/>
      <c r="C26" s="5"/>
      <c r="D26" s="5"/>
      <c r="E26" s="5"/>
      <c r="F26" s="5"/>
      <c r="G26" s="5"/>
      <c r="H26" s="5"/>
      <c r="I26" s="5" t="s">
        <v>105</v>
      </c>
      <c r="J26" s="5"/>
      <c r="K26" s="5"/>
      <c r="L26" s="5" t="s">
        <v>43</v>
      </c>
    </row>
    <row r="27" spans="1:12">
      <c r="A27" s="5"/>
      <c r="B27" s="5"/>
      <c r="C27" s="5"/>
      <c r="D27" s="5"/>
      <c r="E27" s="5"/>
      <c r="F27" s="5"/>
      <c r="G27" s="5"/>
      <c r="H27" s="5"/>
      <c r="I27" s="5" t="s">
        <v>105</v>
      </c>
      <c r="J27" s="5"/>
      <c r="K27" s="5"/>
      <c r="L27" s="5" t="s">
        <v>43</v>
      </c>
    </row>
    <row r="28" spans="1:12">
      <c r="A28" s="5"/>
      <c r="B28" s="5"/>
      <c r="C28" s="5"/>
      <c r="D28" s="5"/>
      <c r="E28" s="5"/>
      <c r="F28" s="5"/>
      <c r="G28" s="5"/>
      <c r="H28" s="5"/>
      <c r="I28" s="5" t="s">
        <v>105</v>
      </c>
      <c r="J28" s="5"/>
      <c r="K28" s="5"/>
      <c r="L28" s="5" t="s">
        <v>43</v>
      </c>
    </row>
    <row r="29" spans="1:12">
      <c r="A29" s="5"/>
      <c r="B29" s="5"/>
      <c r="C29" s="5"/>
      <c r="D29" s="5"/>
      <c r="E29" s="5"/>
      <c r="F29" s="5"/>
      <c r="G29" s="5"/>
      <c r="H29" s="5"/>
      <c r="I29" s="5" t="s">
        <v>105</v>
      </c>
      <c r="J29" s="5"/>
      <c r="K29" s="5"/>
      <c r="L29" s="5" t="s">
        <v>43</v>
      </c>
    </row>
    <row r="30" spans="1:12">
      <c r="A30" s="5"/>
      <c r="B30" s="5"/>
      <c r="C30" s="5"/>
      <c r="D30" s="5"/>
      <c r="E30" s="5"/>
      <c r="F30" s="5"/>
      <c r="G30" s="5"/>
      <c r="H30" s="5"/>
      <c r="I30" s="5" t="s">
        <v>105</v>
      </c>
      <c r="J30" s="5"/>
      <c r="K30" s="5"/>
      <c r="L30" s="5" t="s">
        <v>43</v>
      </c>
    </row>
    <row r="31" spans="1:12">
      <c r="A31" s="5"/>
      <c r="B31" s="5"/>
      <c r="C31" s="5"/>
      <c r="D31" s="5"/>
      <c r="E31" s="5"/>
      <c r="F31" s="5"/>
      <c r="G31" s="5"/>
      <c r="H31" s="5"/>
      <c r="I31" s="5" t="s">
        <v>105</v>
      </c>
      <c r="J31" s="5"/>
      <c r="K31" s="5"/>
      <c r="L31" s="5" t="s">
        <v>43</v>
      </c>
    </row>
    <row r="32" spans="1:12">
      <c r="A32" s="5"/>
      <c r="B32" s="5"/>
      <c r="C32" s="5"/>
      <c r="D32" s="5"/>
      <c r="E32" s="5"/>
      <c r="F32" s="5"/>
      <c r="G32" s="5"/>
      <c r="H32" s="5"/>
      <c r="I32" s="5" t="s">
        <v>105</v>
      </c>
      <c r="J32" s="5"/>
      <c r="K32" s="5"/>
      <c r="L32" s="5" t="s">
        <v>43</v>
      </c>
    </row>
    <row r="33" spans="1:12">
      <c r="A33" s="5"/>
      <c r="B33" s="5"/>
      <c r="C33" s="5"/>
      <c r="D33" s="5"/>
      <c r="E33" s="5"/>
      <c r="F33" s="5"/>
      <c r="G33" s="5"/>
      <c r="H33" s="5"/>
      <c r="I33" s="5" t="s">
        <v>105</v>
      </c>
      <c r="J33" s="5"/>
      <c r="K33" s="5"/>
      <c r="L33" s="5" t="s">
        <v>43</v>
      </c>
    </row>
    <row r="34" spans="1:12">
      <c r="A34" s="5"/>
      <c r="B34" s="5"/>
      <c r="C34" s="5"/>
      <c r="D34" s="5"/>
      <c r="E34" s="5"/>
      <c r="F34" s="5"/>
      <c r="G34" s="5"/>
      <c r="H34" s="5"/>
      <c r="I34" s="5" t="s">
        <v>105</v>
      </c>
      <c r="J34" s="5"/>
      <c r="K34" s="5"/>
      <c r="L34" s="5" t="s">
        <v>43</v>
      </c>
    </row>
    <row r="35" spans="1:12">
      <c r="A35" s="5"/>
      <c r="B35" s="5"/>
      <c r="C35" s="5"/>
      <c r="D35" s="5"/>
      <c r="E35" s="5"/>
      <c r="F35" s="5"/>
      <c r="G35" s="5"/>
      <c r="H35" s="5"/>
      <c r="I35" s="5" t="s">
        <v>105</v>
      </c>
      <c r="J35" s="5"/>
      <c r="K35" s="5"/>
      <c r="L35" s="5" t="s">
        <v>43</v>
      </c>
    </row>
    <row r="36" spans="1:12">
      <c r="A36" s="5"/>
      <c r="B36" s="5"/>
      <c r="C36" s="5"/>
      <c r="D36" s="5"/>
      <c r="E36" s="5"/>
      <c r="F36" s="5"/>
      <c r="G36" s="5"/>
      <c r="H36" s="5"/>
      <c r="I36" s="5" t="s">
        <v>105</v>
      </c>
      <c r="J36" s="5"/>
      <c r="K36" s="5"/>
      <c r="L36" s="5" t="s">
        <v>43</v>
      </c>
    </row>
    <row r="37" spans="1:12">
      <c r="A37" s="5"/>
      <c r="B37" s="5"/>
      <c r="C37" s="5"/>
      <c r="D37" s="5"/>
      <c r="E37" s="5"/>
      <c r="F37" s="5"/>
      <c r="G37" s="5"/>
      <c r="H37" s="5"/>
      <c r="I37" s="5" t="s">
        <v>105</v>
      </c>
      <c r="J37" s="5"/>
      <c r="K37" s="5"/>
      <c r="L37" s="5" t="s">
        <v>43</v>
      </c>
    </row>
    <row r="38" spans="1:12">
      <c r="A38" s="5"/>
      <c r="B38" s="5"/>
      <c r="C38" s="5"/>
      <c r="D38" s="5"/>
      <c r="E38" s="5"/>
      <c r="F38" s="5"/>
      <c r="G38" s="5"/>
      <c r="H38" s="5"/>
      <c r="I38" s="5" t="s">
        <v>105</v>
      </c>
      <c r="J38" s="5"/>
      <c r="K38" s="5"/>
      <c r="L38" s="5" t="s">
        <v>43</v>
      </c>
    </row>
    <row r="39" spans="1:12">
      <c r="A39" s="5"/>
      <c r="B39" s="5"/>
      <c r="C39" s="5"/>
      <c r="D39" s="5"/>
      <c r="E39" s="5"/>
      <c r="F39" s="5"/>
      <c r="G39" s="5"/>
      <c r="H39" s="5"/>
      <c r="I39" s="5" t="s">
        <v>105</v>
      </c>
      <c r="J39" s="5"/>
      <c r="K39" s="5"/>
      <c r="L39" s="5" t="s">
        <v>43</v>
      </c>
    </row>
    <row r="40" spans="1:12">
      <c r="A40" s="5"/>
      <c r="B40" s="5"/>
      <c r="C40" s="5"/>
      <c r="D40" s="5"/>
      <c r="E40" s="5"/>
      <c r="F40" s="5"/>
      <c r="G40" s="5"/>
      <c r="H40" s="5"/>
      <c r="I40" s="5" t="s">
        <v>105</v>
      </c>
      <c r="J40" s="5"/>
      <c r="K40" s="5"/>
      <c r="L40" s="5" t="s">
        <v>43</v>
      </c>
    </row>
    <row r="41" spans="1:12">
      <c r="A41" s="5"/>
      <c r="B41" s="5"/>
      <c r="C41" s="5"/>
      <c r="D41" s="5"/>
      <c r="E41" s="5"/>
      <c r="F41" s="5"/>
      <c r="G41" s="5"/>
      <c r="H41" s="5"/>
      <c r="I41" s="5" t="s">
        <v>105</v>
      </c>
      <c r="J41" s="5"/>
      <c r="K41" s="5"/>
      <c r="L41" s="5" t="s">
        <v>43</v>
      </c>
    </row>
    <row r="42" spans="1:12">
      <c r="A42" s="5"/>
      <c r="B42" s="5"/>
      <c r="C42" s="5"/>
      <c r="D42" s="5"/>
      <c r="E42" s="5"/>
      <c r="F42" s="5"/>
      <c r="G42" s="5"/>
      <c r="H42" s="5"/>
      <c r="I42" s="5" t="s">
        <v>105</v>
      </c>
      <c r="J42" s="5"/>
      <c r="K42" s="5"/>
      <c r="L42" s="5" t="s">
        <v>43</v>
      </c>
    </row>
    <row r="43" spans="1:12">
      <c r="A43" s="5"/>
      <c r="B43" s="5"/>
      <c r="C43" s="5"/>
      <c r="D43" s="5"/>
      <c r="E43" s="5"/>
      <c r="F43" s="5"/>
      <c r="G43" s="5"/>
      <c r="H43" s="5"/>
      <c r="I43" s="5" t="s">
        <v>105</v>
      </c>
      <c r="J43" s="5"/>
      <c r="K43" s="5"/>
      <c r="L43" s="5" t="s">
        <v>43</v>
      </c>
    </row>
  </sheetData>
  <mergeCells count="1">
    <mergeCell ref="A1:L1"/>
  </mergeCells>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election activeCell="D15" sqref="D15"/>
    </sheetView>
  </sheetViews>
  <sheetFormatPr defaultRowHeight="14.25"/>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950000000000003" customHeight="1">
      <c r="A1" s="13" t="s">
        <v>106</v>
      </c>
      <c r="B1" s="13"/>
      <c r="C1" s="13"/>
      <c r="D1" s="13"/>
      <c r="E1" s="13"/>
      <c r="F1" s="13"/>
      <c r="G1" s="13"/>
      <c r="H1" s="13"/>
    </row>
    <row r="3" spans="1:8" ht="30" customHeight="1">
      <c r="A3" s="1" t="s">
        <v>107</v>
      </c>
      <c r="B3" s="1" t="s">
        <v>108</v>
      </c>
      <c r="C3" s="1" t="s">
        <v>109</v>
      </c>
      <c r="D3" s="1" t="s">
        <v>110</v>
      </c>
      <c r="E3" s="1" t="s">
        <v>111</v>
      </c>
      <c r="F3" s="1" t="s">
        <v>112</v>
      </c>
      <c r="G3" s="1" t="s">
        <v>113</v>
      </c>
      <c r="H3" s="1" t="s">
        <v>114</v>
      </c>
    </row>
    <row r="4" spans="1:8">
      <c r="A4" t="s">
        <v>58</v>
      </c>
      <c r="B4" s="5" t="s">
        <v>172</v>
      </c>
      <c r="C4" s="5"/>
      <c r="D4" s="5" t="s">
        <v>201</v>
      </c>
      <c r="E4" s="10">
        <v>46301</v>
      </c>
      <c r="F4" s="5" t="s">
        <v>156</v>
      </c>
      <c r="G4" s="5" t="s">
        <v>105</v>
      </c>
      <c r="H4" s="5"/>
    </row>
    <row r="5" spans="1:8">
      <c r="A5" t="s">
        <v>61</v>
      </c>
      <c r="B5" s="5" t="s">
        <v>172</v>
      </c>
      <c r="C5" s="5"/>
      <c r="D5" s="5" t="s">
        <v>201</v>
      </c>
      <c r="E5" s="10">
        <v>46285</v>
      </c>
      <c r="F5" s="5" t="s">
        <v>157</v>
      </c>
      <c r="G5" s="5" t="s">
        <v>105</v>
      </c>
      <c r="H5" s="5"/>
    </row>
    <row r="6" spans="1:8">
      <c r="A6" t="s">
        <v>64</v>
      </c>
      <c r="B6" s="5" t="s">
        <v>172</v>
      </c>
      <c r="C6" s="5"/>
      <c r="D6" s="5" t="s">
        <v>201</v>
      </c>
      <c r="E6" s="10">
        <v>46289</v>
      </c>
      <c r="F6" s="5" t="s">
        <v>158</v>
      </c>
      <c r="G6" s="5" t="s">
        <v>105</v>
      </c>
      <c r="H6" s="5"/>
    </row>
    <row r="7" spans="1:8">
      <c r="A7" t="s">
        <v>67</v>
      </c>
      <c r="B7" s="5" t="s">
        <v>172</v>
      </c>
      <c r="C7" s="5"/>
      <c r="D7" s="5" t="s">
        <v>201</v>
      </c>
      <c r="E7" s="10">
        <v>46289</v>
      </c>
      <c r="F7" s="5" t="s">
        <v>158</v>
      </c>
      <c r="G7" s="5" t="s">
        <v>105</v>
      </c>
      <c r="H7" s="5"/>
    </row>
    <row r="8" spans="1:8">
      <c r="A8" t="s">
        <v>70</v>
      </c>
      <c r="B8" s="5" t="s">
        <v>172</v>
      </c>
      <c r="C8" s="5"/>
      <c r="D8" s="5" t="s">
        <v>201</v>
      </c>
      <c r="E8" s="10">
        <v>46301</v>
      </c>
      <c r="F8" s="5" t="s">
        <v>159</v>
      </c>
      <c r="G8" s="5" t="s">
        <v>105</v>
      </c>
      <c r="H8" s="5"/>
    </row>
    <row r="9" spans="1:8">
      <c r="A9" t="s">
        <v>73</v>
      </c>
      <c r="B9" s="5" t="s">
        <v>173</v>
      </c>
      <c r="C9" s="5"/>
      <c r="D9" s="5" t="s">
        <v>201</v>
      </c>
      <c r="E9" s="10">
        <v>46304</v>
      </c>
      <c r="F9" s="5" t="s">
        <v>160</v>
      </c>
      <c r="G9" s="5" t="s">
        <v>105</v>
      </c>
      <c r="H9" s="5"/>
    </row>
    <row r="10" spans="1:8">
      <c r="A10" t="s">
        <v>76</v>
      </c>
      <c r="B10" s="5" t="s">
        <v>173</v>
      </c>
      <c r="C10" s="5"/>
      <c r="D10" s="5" t="s">
        <v>201</v>
      </c>
      <c r="E10" s="10">
        <v>46304</v>
      </c>
      <c r="F10" s="5" t="s">
        <v>174</v>
      </c>
      <c r="G10" s="5" t="s">
        <v>105</v>
      </c>
      <c r="H10" s="5"/>
    </row>
    <row r="11" spans="1:8" ht="28.5">
      <c r="A11" t="s">
        <v>115</v>
      </c>
      <c r="B11" s="5" t="s">
        <v>173</v>
      </c>
      <c r="C11" s="5"/>
      <c r="D11" s="5" t="s">
        <v>201</v>
      </c>
      <c r="E11" s="10">
        <v>46304</v>
      </c>
      <c r="F11" s="5" t="s">
        <v>175</v>
      </c>
      <c r="G11" s="5" t="s">
        <v>105</v>
      </c>
      <c r="H11" s="5"/>
    </row>
  </sheetData>
  <mergeCells count="1">
    <mergeCell ref="A1:H1"/>
  </mergeCells>
  <dataValidations count="1">
    <dataValidation type="list" sqref="D4:D11 G4:G11"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topLeftCell="A2" workbookViewId="0">
      <selection activeCell="B25" sqref="B25"/>
    </sheetView>
  </sheetViews>
  <sheetFormatPr defaultRowHeight="14.25"/>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950000000000003" customHeight="1">
      <c r="A1" s="13" t="s">
        <v>116</v>
      </c>
      <c r="B1" s="13"/>
      <c r="C1" s="13"/>
      <c r="D1" s="13"/>
      <c r="E1" s="13"/>
      <c r="F1" s="13"/>
      <c r="G1" s="13"/>
      <c r="H1" s="13"/>
      <c r="I1" s="13"/>
    </row>
    <row r="3" spans="1:9" ht="30" customHeight="1">
      <c r="A3" s="1" t="s">
        <v>117</v>
      </c>
      <c r="B3" s="1" t="s">
        <v>118</v>
      </c>
      <c r="C3" s="1" t="s">
        <v>119</v>
      </c>
      <c r="D3" s="1" t="s">
        <v>120</v>
      </c>
      <c r="E3" s="1" t="s">
        <v>112</v>
      </c>
      <c r="F3" s="1" t="s">
        <v>121</v>
      </c>
      <c r="G3" s="1" t="s">
        <v>53</v>
      </c>
      <c r="H3" s="1" t="s">
        <v>122</v>
      </c>
      <c r="I3" s="1" t="s">
        <v>114</v>
      </c>
    </row>
    <row r="4" spans="1:9" ht="114">
      <c r="A4" s="10">
        <v>46296</v>
      </c>
      <c r="B4" s="5" t="s">
        <v>206</v>
      </c>
      <c r="C4" s="5" t="s">
        <v>207</v>
      </c>
      <c r="D4" s="5" t="s">
        <v>208</v>
      </c>
      <c r="E4" s="5" t="s">
        <v>156</v>
      </c>
      <c r="F4" s="10">
        <v>46301</v>
      </c>
      <c r="G4" s="5" t="s">
        <v>34</v>
      </c>
      <c r="H4" s="10">
        <v>46301</v>
      </c>
      <c r="I4" s="5" t="s">
        <v>209</v>
      </c>
    </row>
    <row r="5" spans="1:9" ht="114">
      <c r="A5" s="10">
        <v>46298</v>
      </c>
      <c r="B5" s="20" t="s">
        <v>211</v>
      </c>
      <c r="C5" s="5" t="s">
        <v>210</v>
      </c>
      <c r="D5" s="5" t="s">
        <v>212</v>
      </c>
      <c r="E5" s="5" t="s">
        <v>161</v>
      </c>
      <c r="F5" s="10">
        <v>46305</v>
      </c>
      <c r="G5" s="5" t="s">
        <v>34</v>
      </c>
      <c r="H5" s="10">
        <v>46307</v>
      </c>
      <c r="I5" s="5" t="s">
        <v>213</v>
      </c>
    </row>
    <row r="6" spans="1:9" ht="57">
      <c r="A6" s="10">
        <v>46296</v>
      </c>
      <c r="B6" s="5" t="s">
        <v>214</v>
      </c>
      <c r="C6" s="5" t="s">
        <v>215</v>
      </c>
      <c r="D6" s="5" t="s">
        <v>216</v>
      </c>
      <c r="E6" s="5" t="s">
        <v>217</v>
      </c>
      <c r="F6" s="10">
        <v>46301</v>
      </c>
      <c r="G6" s="5" t="s">
        <v>34</v>
      </c>
      <c r="H6" s="10">
        <v>46301</v>
      </c>
      <c r="I6" s="5" t="s">
        <v>218</v>
      </c>
    </row>
    <row r="7" spans="1:9">
      <c r="A7" s="5"/>
      <c r="C7" s="5"/>
      <c r="D7" s="5"/>
      <c r="E7" s="5"/>
      <c r="F7" s="5"/>
      <c r="G7" s="5" t="s">
        <v>43</v>
      </c>
      <c r="H7" s="5"/>
      <c r="I7" s="5"/>
    </row>
    <row r="8" spans="1:9">
      <c r="A8" s="5"/>
      <c r="B8" s="5"/>
      <c r="C8" s="5"/>
      <c r="D8" s="5"/>
      <c r="E8" s="5"/>
      <c r="F8" s="5"/>
      <c r="G8" s="5" t="s">
        <v>43</v>
      </c>
      <c r="H8" s="5"/>
      <c r="I8" s="5"/>
    </row>
    <row r="9" spans="1:9">
      <c r="A9" s="5"/>
      <c r="B9" s="5"/>
      <c r="C9" s="5"/>
      <c r="D9" s="5"/>
      <c r="E9" s="5"/>
      <c r="F9" s="5"/>
      <c r="G9" s="5" t="s">
        <v>43</v>
      </c>
      <c r="H9" s="5"/>
      <c r="I9" s="5"/>
    </row>
    <row r="10" spans="1:9">
      <c r="A10" s="5"/>
      <c r="B10" s="5"/>
      <c r="C10" s="5"/>
      <c r="D10" s="5"/>
      <c r="E10" s="5"/>
      <c r="F10" s="5"/>
      <c r="G10" s="5" t="s">
        <v>43</v>
      </c>
      <c r="H10" s="5"/>
      <c r="I10" s="5"/>
    </row>
    <row r="11" spans="1:9">
      <c r="A11" s="5"/>
      <c r="B11" s="5"/>
      <c r="C11" s="5"/>
      <c r="D11" s="5"/>
      <c r="E11" s="5"/>
      <c r="F11" s="5"/>
      <c r="G11" s="5" t="s">
        <v>43</v>
      </c>
      <c r="H11" s="5"/>
      <c r="I11" s="5"/>
    </row>
    <row r="12" spans="1:9">
      <c r="A12" s="5"/>
      <c r="B12" s="5"/>
      <c r="C12" s="5"/>
      <c r="D12" s="5"/>
      <c r="E12" s="5"/>
      <c r="F12" s="5"/>
      <c r="G12" s="5" t="s">
        <v>43</v>
      </c>
      <c r="H12" s="5"/>
      <c r="I12" s="5"/>
    </row>
    <row r="13" spans="1:9">
      <c r="A13" s="5"/>
      <c r="B13" s="5"/>
      <c r="C13" s="5"/>
      <c r="D13" s="5"/>
      <c r="E13" s="5"/>
      <c r="F13" s="5"/>
      <c r="G13" s="5" t="s">
        <v>43</v>
      </c>
      <c r="H13" s="5"/>
      <c r="I13" s="5"/>
    </row>
    <row r="14" spans="1:9">
      <c r="A14" s="5"/>
      <c r="B14" s="5"/>
      <c r="C14" s="5"/>
      <c r="D14" s="5"/>
      <c r="E14" s="5"/>
      <c r="F14" s="5"/>
      <c r="G14" s="5" t="s">
        <v>43</v>
      </c>
      <c r="H14" s="5"/>
      <c r="I14" s="5"/>
    </row>
    <row r="15" spans="1:9">
      <c r="A15" s="5"/>
      <c r="B15" s="5"/>
      <c r="C15" s="5"/>
      <c r="D15" s="5"/>
      <c r="E15" s="5"/>
      <c r="F15" s="5"/>
      <c r="G15" s="5" t="s">
        <v>43</v>
      </c>
      <c r="H15" s="5"/>
      <c r="I15" s="5"/>
    </row>
    <row r="16" spans="1:9">
      <c r="A16" s="5"/>
      <c r="B16" s="5"/>
      <c r="C16" s="5"/>
      <c r="D16" s="5"/>
      <c r="E16" s="5"/>
      <c r="F16" s="5"/>
      <c r="G16" s="5" t="s">
        <v>43</v>
      </c>
      <c r="H16" s="5"/>
      <c r="I16" s="5"/>
    </row>
    <row r="17" spans="1:9">
      <c r="A17" s="5"/>
      <c r="B17" s="5"/>
      <c r="C17" s="5"/>
      <c r="D17" s="5"/>
      <c r="E17" s="5"/>
      <c r="F17" s="5"/>
      <c r="G17" s="5" t="s">
        <v>43</v>
      </c>
      <c r="H17" s="5"/>
      <c r="I17" s="5"/>
    </row>
    <row r="18" spans="1:9">
      <c r="A18" s="5"/>
      <c r="B18" s="5"/>
      <c r="C18" s="5"/>
      <c r="D18" s="5"/>
      <c r="E18" s="5"/>
      <c r="F18" s="5"/>
      <c r="G18" s="5" t="s">
        <v>43</v>
      </c>
      <c r="H18" s="5"/>
      <c r="I18" s="5"/>
    </row>
    <row r="19" spans="1:9">
      <c r="A19" s="5"/>
      <c r="B19" s="5"/>
      <c r="C19" s="5"/>
      <c r="D19" s="5"/>
      <c r="E19" s="5"/>
      <c r="F19" s="5"/>
      <c r="G19" s="5" t="s">
        <v>43</v>
      </c>
      <c r="H19" s="5"/>
      <c r="I19" s="5"/>
    </row>
    <row r="20" spans="1:9">
      <c r="A20" s="5"/>
      <c r="B20" s="5"/>
      <c r="C20" s="5"/>
      <c r="D20" s="5"/>
      <c r="E20" s="5"/>
      <c r="F20" s="5"/>
      <c r="G20" s="5" t="s">
        <v>43</v>
      </c>
      <c r="H20" s="5"/>
      <c r="I20" s="5"/>
    </row>
    <row r="21" spans="1:9">
      <c r="A21" s="5"/>
      <c r="B21" s="5"/>
      <c r="C21" s="5"/>
      <c r="D21" s="5"/>
      <c r="E21" s="5"/>
      <c r="F21" s="5"/>
      <c r="G21" s="5" t="s">
        <v>43</v>
      </c>
      <c r="H21" s="5"/>
      <c r="I21" s="5"/>
    </row>
    <row r="22" spans="1:9">
      <c r="A22" s="5"/>
      <c r="B22" s="5"/>
      <c r="C22" s="5"/>
      <c r="D22" s="5"/>
      <c r="E22" s="5"/>
      <c r="F22" s="5"/>
      <c r="G22" s="5" t="s">
        <v>43</v>
      </c>
      <c r="H22" s="5"/>
      <c r="I22" s="5"/>
    </row>
    <row r="23" spans="1:9">
      <c r="A23" s="5"/>
      <c r="B23" s="5"/>
      <c r="C23" s="5"/>
      <c r="D23" s="5"/>
      <c r="E23" s="5"/>
      <c r="F23" s="5"/>
      <c r="G23" s="5" t="s">
        <v>43</v>
      </c>
      <c r="H23" s="5"/>
      <c r="I23" s="5"/>
    </row>
    <row r="24" spans="1:9">
      <c r="A24" s="5"/>
      <c r="B24" s="5"/>
      <c r="C24" s="5"/>
      <c r="D24" s="5"/>
      <c r="E24" s="5"/>
      <c r="F24" s="5"/>
      <c r="G24" s="5" t="s">
        <v>43</v>
      </c>
      <c r="H24" s="5"/>
      <c r="I24" s="5"/>
    </row>
    <row r="25" spans="1:9">
      <c r="A25" s="5"/>
      <c r="B25" s="5"/>
      <c r="C25" s="5"/>
      <c r="D25" s="5"/>
      <c r="E25" s="5"/>
      <c r="F25" s="5"/>
      <c r="G25" s="5" t="s">
        <v>43</v>
      </c>
      <c r="H25" s="5"/>
      <c r="I25" s="5"/>
    </row>
    <row r="26" spans="1:9">
      <c r="A26" s="5"/>
      <c r="B26" s="5"/>
      <c r="C26" s="5"/>
      <c r="D26" s="5"/>
      <c r="E26" s="5"/>
      <c r="F26" s="5"/>
      <c r="G26" s="5" t="s">
        <v>43</v>
      </c>
      <c r="H26" s="5"/>
      <c r="I26" s="5"/>
    </row>
    <row r="27" spans="1:9">
      <c r="A27" s="5"/>
      <c r="B27" s="5"/>
      <c r="C27" s="5"/>
      <c r="D27" s="5"/>
      <c r="E27" s="5"/>
      <c r="F27" s="5"/>
      <c r="G27" s="5" t="s">
        <v>43</v>
      </c>
      <c r="H27" s="5"/>
      <c r="I27" s="5"/>
    </row>
    <row r="28" spans="1:9">
      <c r="A28" s="5"/>
      <c r="B28" s="5"/>
      <c r="C28" s="5"/>
      <c r="D28" s="5"/>
      <c r="E28" s="5"/>
      <c r="F28" s="5"/>
      <c r="G28" s="5" t="s">
        <v>43</v>
      </c>
      <c r="H28" s="5"/>
      <c r="I28" s="5"/>
    </row>
    <row r="29" spans="1:9">
      <c r="A29" s="5"/>
      <c r="B29" s="5"/>
      <c r="C29" s="5"/>
      <c r="D29" s="5"/>
      <c r="E29" s="5"/>
      <c r="F29" s="5"/>
      <c r="G29" s="5" t="s">
        <v>43</v>
      </c>
      <c r="H29" s="5"/>
      <c r="I29" s="5"/>
    </row>
    <row r="30" spans="1:9">
      <c r="A30" s="5"/>
      <c r="B30" s="5"/>
      <c r="C30" s="5"/>
      <c r="D30" s="5"/>
      <c r="E30" s="5"/>
      <c r="F30" s="5"/>
      <c r="G30" s="5" t="s">
        <v>43</v>
      </c>
      <c r="H30" s="5"/>
      <c r="I30" s="5"/>
    </row>
    <row r="31" spans="1:9">
      <c r="A31" s="5"/>
      <c r="B31" s="5"/>
      <c r="C31" s="5"/>
      <c r="D31" s="5"/>
      <c r="E31" s="5"/>
      <c r="F31" s="5"/>
      <c r="G31" s="5" t="s">
        <v>43</v>
      </c>
      <c r="H31" s="5"/>
      <c r="I31" s="5"/>
    </row>
    <row r="32" spans="1:9">
      <c r="A32" s="5"/>
      <c r="B32" s="5"/>
      <c r="C32" s="5"/>
      <c r="D32" s="5"/>
      <c r="E32" s="5"/>
      <c r="F32" s="5"/>
      <c r="G32" s="5" t="s">
        <v>43</v>
      </c>
      <c r="H32" s="5"/>
      <c r="I32" s="5"/>
    </row>
    <row r="33" spans="1:9">
      <c r="A33" s="5"/>
      <c r="B33" s="5"/>
      <c r="C33" s="5"/>
      <c r="D33" s="5"/>
      <c r="E33" s="5"/>
      <c r="F33" s="5"/>
      <c r="G33" s="5" t="s">
        <v>43</v>
      </c>
      <c r="H33" s="5"/>
      <c r="I33" s="5"/>
    </row>
  </sheetData>
  <mergeCells count="1">
    <mergeCell ref="A1:I1"/>
  </mergeCells>
  <conditionalFormatting sqref="G4:G33">
    <cfRule type="expression" dxfId="1" priority="1">
      <formula>G4="Completed"</formula>
    </cfRule>
    <cfRule type="expression" dxfId="0" priority="2">
      <formula>G4="Blocked"</formula>
    </cfRule>
  </conditionalFormatting>
  <dataValidations count="1">
    <dataValidation type="list" sqref="G4:G33" xr:uid="{00000000-0002-0000-0500-000000000000}">
      <formula1>"Not Started,In Progress,Completed,Blocked"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election activeCell="B14" sqref="B14"/>
    </sheetView>
  </sheetViews>
  <sheetFormatPr defaultRowHeight="14.25"/>
  <cols>
    <col min="1" max="1" width="38" customWidth="1"/>
    <col min="2" max="3" width="34" customWidth="1"/>
    <col min="4" max="4" width="4" customWidth="1"/>
    <col min="5" max="5" width="38" customWidth="1"/>
    <col min="6" max="6" width="14" customWidth="1"/>
  </cols>
  <sheetData>
    <row r="1" spans="1:6" ht="33.950000000000003" customHeight="1">
      <c r="A1" s="13" t="s">
        <v>30</v>
      </c>
      <c r="B1" s="13"/>
      <c r="C1" s="13"/>
      <c r="D1" s="13"/>
      <c r="E1" s="13"/>
      <c r="F1" s="13"/>
    </row>
    <row r="3" spans="1:6" ht="30" customHeight="1">
      <c r="A3" s="4" t="s">
        <v>41</v>
      </c>
      <c r="B3" s="11" t="s">
        <v>219</v>
      </c>
      <c r="C3" s="11"/>
      <c r="E3" s="1" t="s">
        <v>123</v>
      </c>
      <c r="F3" s="1" t="s">
        <v>124</v>
      </c>
    </row>
    <row r="4" spans="1:6" ht="15">
      <c r="A4" s="4" t="s">
        <v>42</v>
      </c>
      <c r="B4" s="11" t="s">
        <v>36</v>
      </c>
      <c r="C4" s="11"/>
      <c r="E4" t="s">
        <v>125</v>
      </c>
      <c r="F4" s="5" t="s">
        <v>201</v>
      </c>
    </row>
    <row r="5" spans="1:6" ht="15">
      <c r="A5" s="4" t="s">
        <v>126</v>
      </c>
      <c r="B5" s="11" t="s">
        <v>220</v>
      </c>
      <c r="C5" s="11"/>
      <c r="E5" t="s">
        <v>127</v>
      </c>
      <c r="F5" s="5" t="s">
        <v>201</v>
      </c>
    </row>
    <row r="6" spans="1:6" ht="15">
      <c r="A6" s="4" t="s">
        <v>128</v>
      </c>
      <c r="B6" s="11" t="s">
        <v>221</v>
      </c>
      <c r="C6" s="11"/>
      <c r="E6" t="s">
        <v>129</v>
      </c>
      <c r="F6" s="5" t="s">
        <v>201</v>
      </c>
    </row>
    <row r="7" spans="1:6" ht="15">
      <c r="A7" s="4" t="s">
        <v>130</v>
      </c>
      <c r="B7" s="11" t="s">
        <v>222</v>
      </c>
      <c r="C7" s="11"/>
      <c r="E7" t="s">
        <v>131</v>
      </c>
      <c r="F7" s="5" t="s">
        <v>201</v>
      </c>
    </row>
    <row r="8" spans="1:6" ht="30">
      <c r="A8" s="4" t="s">
        <v>132</v>
      </c>
      <c r="B8" s="11" t="s">
        <v>224</v>
      </c>
      <c r="C8" s="11"/>
      <c r="E8" t="s">
        <v>133</v>
      </c>
      <c r="F8" s="5" t="s">
        <v>201</v>
      </c>
    </row>
    <row r="9" spans="1:6" ht="15">
      <c r="A9" s="4" t="s">
        <v>134</v>
      </c>
      <c r="B9" s="11" t="s">
        <v>221</v>
      </c>
      <c r="C9" s="11"/>
      <c r="E9" t="s">
        <v>135</v>
      </c>
      <c r="F9" s="5" t="s">
        <v>201</v>
      </c>
    </row>
    <row r="10" spans="1:6" ht="15">
      <c r="A10" s="4" t="s">
        <v>136</v>
      </c>
      <c r="B10" s="11"/>
      <c r="C10" s="11"/>
      <c r="E10" t="s">
        <v>137</v>
      </c>
      <c r="F10" s="5" t="s">
        <v>105</v>
      </c>
    </row>
    <row r="11" spans="1:6" ht="15">
      <c r="A11" s="4" t="s">
        <v>138</v>
      </c>
      <c r="B11" s="11" t="s">
        <v>223</v>
      </c>
      <c r="C11" s="11"/>
      <c r="E11" t="s">
        <v>139</v>
      </c>
      <c r="F11" s="5" t="s">
        <v>201</v>
      </c>
    </row>
    <row r="12" spans="1:6">
      <c r="E12" t="s">
        <v>140</v>
      </c>
      <c r="F12" s="5" t="s">
        <v>201</v>
      </c>
    </row>
    <row r="13" spans="1:6">
      <c r="E13" t="s">
        <v>141</v>
      </c>
      <c r="F13" s="5" t="s">
        <v>105</v>
      </c>
    </row>
    <row r="14" spans="1:6">
      <c r="E14" t="s">
        <v>142</v>
      </c>
      <c r="F14" s="5" t="s">
        <v>201</v>
      </c>
    </row>
    <row r="15" spans="1:6">
      <c r="E15" t="s">
        <v>143</v>
      </c>
      <c r="F15" s="5" t="s">
        <v>201</v>
      </c>
    </row>
    <row r="16" spans="1:6">
      <c r="E16" t="s">
        <v>144</v>
      </c>
      <c r="F16" s="5" t="s">
        <v>105</v>
      </c>
    </row>
  </sheetData>
  <mergeCells count="10">
    <mergeCell ref="A1:F1"/>
    <mergeCell ref="B3:C3"/>
    <mergeCell ref="B4:C4"/>
    <mergeCell ref="B5:C5"/>
    <mergeCell ref="B6:C6"/>
    <mergeCell ref="B7:C7"/>
    <mergeCell ref="B8:C8"/>
    <mergeCell ref="B9:C9"/>
    <mergeCell ref="B10:C10"/>
    <mergeCell ref="B11:C11"/>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abSelected="1" workbookViewId="0">
      <selection sqref="A1:F1"/>
    </sheetView>
  </sheetViews>
  <sheetFormatPr defaultRowHeight="14.25"/>
  <cols>
    <col min="1" max="6" width="24" customWidth="1"/>
  </cols>
  <sheetData>
    <row r="1" spans="1:6" ht="33.950000000000003" customHeight="1">
      <c r="A1" s="13" t="s">
        <v>145</v>
      </c>
      <c r="B1" s="13"/>
      <c r="C1" s="13"/>
      <c r="D1" s="13"/>
      <c r="E1" s="13"/>
      <c r="F1" s="13"/>
    </row>
    <row r="3" spans="1:6" ht="27.95" customHeight="1">
      <c r="A3" s="12" t="s">
        <v>146</v>
      </c>
      <c r="B3" s="12"/>
      <c r="C3" s="12"/>
      <c r="D3" s="12"/>
      <c r="E3" s="12"/>
      <c r="F3" s="12"/>
    </row>
    <row r="4" spans="1:6" ht="38.1" customHeight="1">
      <c r="A4" s="14"/>
      <c r="B4" s="14"/>
      <c r="C4" s="14"/>
      <c r="D4" s="14"/>
      <c r="E4" s="14"/>
      <c r="F4" s="14"/>
    </row>
    <row r="5" spans="1:6" ht="38.1" customHeight="1">
      <c r="A5" s="14"/>
      <c r="B5" s="14"/>
      <c r="C5" s="14"/>
      <c r="D5" s="14"/>
      <c r="E5" s="14"/>
      <c r="F5" s="14"/>
    </row>
    <row r="6" spans="1:6" ht="30" customHeight="1">
      <c r="A6" s="9"/>
      <c r="B6" s="9"/>
      <c r="C6" s="9"/>
      <c r="D6" s="9"/>
      <c r="E6" s="9"/>
      <c r="F6" s="9"/>
    </row>
    <row r="7" spans="1:6" ht="27.95" customHeight="1">
      <c r="A7" s="15" t="s">
        <v>147</v>
      </c>
      <c r="B7" s="15"/>
      <c r="C7" s="15"/>
      <c r="D7" s="15"/>
      <c r="E7" s="15"/>
      <c r="F7" s="15"/>
    </row>
    <row r="8" spans="1:6" ht="38.1" customHeight="1">
      <c r="A8" s="14"/>
      <c r="B8" s="14"/>
      <c r="C8" s="14"/>
      <c r="D8" s="14"/>
      <c r="E8" s="14"/>
      <c r="F8" s="14"/>
    </row>
    <row r="9" spans="1:6" ht="38.1" customHeight="1">
      <c r="A9" s="11"/>
      <c r="B9" s="11"/>
      <c r="C9" s="11"/>
      <c r="D9" s="11"/>
      <c r="E9" s="11"/>
      <c r="F9" s="11"/>
    </row>
    <row r="10" spans="1:6" ht="42" customHeight="1">
      <c r="A10" s="5"/>
      <c r="B10" s="5"/>
      <c r="C10" s="5"/>
      <c r="D10" s="5"/>
      <c r="E10" s="5"/>
      <c r="F10" s="5"/>
    </row>
    <row r="11" spans="1:6" ht="27.95" customHeight="1">
      <c r="A11" s="12" t="s">
        <v>148</v>
      </c>
      <c r="B11" s="12"/>
      <c r="C11" s="12"/>
      <c r="D11" s="12"/>
      <c r="E11" s="12"/>
      <c r="F11" s="12"/>
    </row>
    <row r="12" spans="1:6" ht="38.1" customHeight="1">
      <c r="A12" s="11"/>
      <c r="B12" s="11"/>
      <c r="C12" s="11"/>
      <c r="D12" s="11"/>
      <c r="E12" s="11"/>
      <c r="F12" s="11"/>
    </row>
    <row r="13" spans="1:6" ht="38.1" customHeight="1">
      <c r="A13" s="11"/>
      <c r="B13" s="11"/>
      <c r="C13" s="11"/>
      <c r="D13" s="11"/>
      <c r="E13" s="11"/>
      <c r="F13" s="11"/>
    </row>
    <row r="15" spans="1:6" ht="27.95" customHeight="1">
      <c r="A15" s="12" t="s">
        <v>149</v>
      </c>
      <c r="B15" s="12"/>
      <c r="C15" s="12"/>
      <c r="D15" s="12"/>
      <c r="E15" s="12"/>
      <c r="F15" s="12"/>
    </row>
    <row r="16" spans="1:6" ht="38.1" customHeight="1">
      <c r="A16" s="11"/>
      <c r="B16" s="11"/>
      <c r="C16" s="11"/>
      <c r="D16" s="11"/>
      <c r="E16" s="11"/>
      <c r="F16" s="11"/>
    </row>
    <row r="17" spans="1:6" ht="38.1" customHeight="1">
      <c r="A17" s="11"/>
      <c r="B17" s="11"/>
      <c r="C17" s="11"/>
      <c r="D17" s="11"/>
      <c r="E17" s="11"/>
      <c r="F17" s="11"/>
    </row>
    <row r="19" spans="1:6" ht="27.95" customHeight="1">
      <c r="A19" s="12" t="s">
        <v>150</v>
      </c>
      <c r="B19" s="12"/>
      <c r="C19" s="12"/>
      <c r="D19" s="12"/>
      <c r="E19" s="12"/>
      <c r="F19" s="12"/>
    </row>
    <row r="20" spans="1:6" ht="38.1" customHeight="1">
      <c r="A20" s="11"/>
      <c r="B20" s="11"/>
      <c r="C20" s="11"/>
      <c r="D20" s="11"/>
      <c r="E20" s="11"/>
      <c r="F20" s="11"/>
    </row>
    <row r="21" spans="1:6" ht="38.1" customHeight="1">
      <c r="A21" s="11"/>
      <c r="B21" s="11"/>
      <c r="C21" s="11"/>
      <c r="D21" s="11"/>
      <c r="E21" s="11"/>
      <c r="F21" s="11"/>
    </row>
    <row r="23" spans="1:6" ht="27.95" customHeight="1">
      <c r="A23" s="12" t="s">
        <v>151</v>
      </c>
      <c r="B23" s="12"/>
      <c r="C23" s="12"/>
      <c r="D23" s="12"/>
      <c r="E23" s="12"/>
      <c r="F23" s="12"/>
    </row>
    <row r="24" spans="1:6" ht="38.1" customHeight="1">
      <c r="A24" s="11"/>
      <c r="B24" s="11"/>
      <c r="C24" s="11"/>
      <c r="D24" s="11"/>
      <c r="E24" s="11"/>
      <c r="F24" s="11"/>
    </row>
    <row r="25" spans="1:6" ht="38.1" customHeight="1">
      <c r="A25" s="11"/>
      <c r="B25" s="11"/>
      <c r="C25" s="11"/>
      <c r="D25" s="11"/>
      <c r="E25" s="11"/>
      <c r="F25" s="11"/>
    </row>
  </sheetData>
  <mergeCells count="13">
    <mergeCell ref="A1:F1"/>
    <mergeCell ref="A3:F3"/>
    <mergeCell ref="A4:F5"/>
    <mergeCell ref="A7:F7"/>
    <mergeCell ref="A8:F9"/>
    <mergeCell ref="A20:F21"/>
    <mergeCell ref="A23:F23"/>
    <mergeCell ref="A24:F25"/>
    <mergeCell ref="A11:F11"/>
    <mergeCell ref="A12:F13"/>
    <mergeCell ref="A15:F15"/>
    <mergeCell ref="A16:F17"/>
    <mergeCell ref="A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Thabang Motaung</dc:creator>
  <cp:lastModifiedBy>Thabang Motaung</cp:lastModifiedBy>
  <dcterms:created xsi:type="dcterms:W3CDTF">2026-10-12T17:05:33Z</dcterms:created>
  <dcterms:modified xsi:type="dcterms:W3CDTF">2026-10-13T08:02:22Z</dcterms:modified>
</cp:coreProperties>
</file>