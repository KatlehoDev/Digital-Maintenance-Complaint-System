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nce\Downloads\"/>
    </mc:Choice>
  </mc:AlternateContent>
  <xr:revisionPtr revIDLastSave="0" documentId="8_{DCF41868-962A-468D-ACA2-76FCB52F35BF}" xr6:coauthVersionLast="47" xr6:coauthVersionMax="47" xr10:uidLastSave="{00000000-0000-0000-0000-000000000000}"/>
  <bookViews>
    <workbookView xWindow="-120" yWindow="-120" windowWidth="20730" windowHeight="11040" activeTab="2"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1" i="3" l="1"/>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B11" i="2"/>
  <c r="G8" i="2"/>
  <c r="G7" i="2"/>
  <c r="G6" i="2"/>
  <c r="G5" i="2"/>
  <c r="G4" i="2"/>
  <c r="G9" i="2" l="1"/>
</calcChain>
</file>

<file path=xl/sharedStrings.xml><?xml version="1.0" encoding="utf-8"?>
<sst xmlns="http://schemas.openxmlformats.org/spreadsheetml/2006/main" count="388" uniqueCount="265">
  <si>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</si>
  <si>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</si>
  <si>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</si>
  <si>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</si>
  <si>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</si>
  <si>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</si>
  <si>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</si>
  <si>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</si>
  <si>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</si>
  <si>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</si>
  <si>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</si>
  <si>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</si>
  <si>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</si>
  <si>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</si>
  <si>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</si>
  <si>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</si>
  <si>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</si>
  <si>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</si>
  <si>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</si>
  <si>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</si>
  <si>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</si>
  <si>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</si>
  <si>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</si>
  <si>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</si>
  <si>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</si>
  <si>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</si>
  <si>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</si>
  <si>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</si>
  <si>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</si>
  <si>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</si>
  <si>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</si>
  <si>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</si>
  <si>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</si>
  <si>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</si>
  <si>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</si>
  <si>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</si>
  <si>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</si>
  <si>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</si>
  <si>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</si>
  <si>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</si>
  <si>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</si>
  <si>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</si>
  <si>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</si>
  <si>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</si>
  <si>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</si>
  <si>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</si>
  <si>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</si>
  <si>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</si>
  <si>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</si>
  <si>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</si>
  <si>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</si>
  <si>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</si>
  <si>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</si>
  <si>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</si>
  <si>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</si>
  <si>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</si>
  <si>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</si>
  <si>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</si>
  <si>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</si>
  <si>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</si>
  <si>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</si>
  <si>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</si>
  <si>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</si>
  <si>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</si>
  <si>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</si>
  <si>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</si>
  <si>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</si>
  <si>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</si>
  <si>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</si>
  <si>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</si>
  <si>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</si>
  <si>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</si>
  <si>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</si>
  <si>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</si>
  <si>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</si>
  <si>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</si>
  <si>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</si>
  <si>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</si>
  <si>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</si>
  <si>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</si>
  <si>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</si>
  <si>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U1-01</t>
  </si>
  <si>
    <t>Activity 1.1</t>
  </si>
  <si>
    <t>Identify and confirm the external stakeholder</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</si>
  <si>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</si>
  <si>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</si>
  <si>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</si>
  <si>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</si>
  <si>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</si>
  <si>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</si>
  <si>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</si>
  <si>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</si>
  <si>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</si>
  <si>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</si>
  <si>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</si>
  <si>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</si>
  <si>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</si>
  <si>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</si>
  <si>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</si>
  <si>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</si>
  <si>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</si>
  <si>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</si>
  <si>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</si>
  <si>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</si>
  <si>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</si>
  <si>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</si>
  <si>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</si>
  <si>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</si>
  <si>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</si>
  <si>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</si>
  <si>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</si>
  <si>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</si>
  <si>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</si>
  <si>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</si>
  <si>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</si>
  <si>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</si>
  <si>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</si>
  <si>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</si>
  <si>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</si>
  <si>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</si>
  <si>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</si>
  <si>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</si>
  <si>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</si>
  <si>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</si>
  <si>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</si>
  <si>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</si>
  <si>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</si>
  <si>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</si>
  <si>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</si>
  <si>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</si>
  <si>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</si>
  <si>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</si>
  <si>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</si>
  <si>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</si>
  <si>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</si>
  <si>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</si>
  <si>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</si>
  <si>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</si>
  <si>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</si>
  <si>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</si>
  <si>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</si>
  <si>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</si>
  <si>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</si>
  <si>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</si>
  <si>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</si>
  <si>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</si>
  <si>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</si>
  <si>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</si>
  <si>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</si>
  <si>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</si>
  <si>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</si>
  <si>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</si>
  <si>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</si>
  <si>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</si>
  <si>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</si>
  <si>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</si>
  <si>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</si>
  <si>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</si>
  <si>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</si>
  <si>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</si>
  <si>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</si>
  <si>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</si>
  <si>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</si>
  <si>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</si>
  <si>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</si>
  <si>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</si>
  <si>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</si>
  <si>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</si>
  <si>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</si>
  <si>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</si>
  <si>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</si>
  <si>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Digital Maintenance Complaint Lifecycle Management System</t>
  </si>
  <si>
    <t xml:space="preserve">Estate and Infrastructure Department and the maintenance of CUT residences </t>
  </si>
  <si>
    <t>Ms Mbele</t>
  </si>
  <si>
    <t>Group V</t>
  </si>
  <si>
    <t>Sisekelo Mtshali</t>
  </si>
  <si>
    <t>Mphomela Katleho</t>
  </si>
  <si>
    <t xml:space="preserve"> Motaung Thabang</t>
  </si>
  <si>
    <t>Mkabela Asande</t>
  </si>
  <si>
    <t>Malefetsane Tabi</t>
  </si>
  <si>
    <t>Motaung Thabang</t>
  </si>
  <si>
    <t>All Members</t>
  </si>
  <si>
    <t>Tlotliso Kasa</t>
  </si>
  <si>
    <t>Stemer Tsebano</t>
  </si>
  <si>
    <t>Fihlo Vuyisile</t>
  </si>
  <si>
    <t>Kasa Tlotliso</t>
  </si>
  <si>
    <t>Activity 1.1, 1.2,1.3</t>
  </si>
  <si>
    <t>Conducted and documented the stakeholder interview</t>
  </si>
  <si>
    <t>Documented the current process and problem</t>
  </si>
  <si>
    <t>Created and configured the GitHub repository</t>
  </si>
  <si>
    <t>Identified and confirmed the external stakeholder</t>
  </si>
  <si>
    <t>Created the initial Microsoft Project schedule</t>
  </si>
  <si>
    <t>Compiled the initial SRS</t>
  </si>
  <si>
    <t>Created the initial Supabase project</t>
  </si>
  <si>
    <t>Prepared stakeholder interview questions</t>
  </si>
  <si>
    <t>Yes</t>
  </si>
  <si>
    <t>Meeting Notes</t>
  </si>
  <si>
    <t>The Software Requirement Specification Document</t>
  </si>
  <si>
    <t>GitHub Link</t>
  </si>
  <si>
    <t>Stakeholder Profile</t>
  </si>
  <si>
    <t xml:space="preserve">Microsoft Project File </t>
  </si>
  <si>
    <t>The Completed Software Requirement Specification Document</t>
  </si>
  <si>
    <t>Supabase Link</t>
  </si>
  <si>
    <t>Interview Questions</t>
  </si>
  <si>
    <t>Meeting</t>
  </si>
  <si>
    <t>Conduct Stakeholder Interview to gain more insights about the Stakeholder's current process, to conduct a clear problem statement and gather all necessary information</t>
  </si>
  <si>
    <t>Fihlo Vuyisile, Sisekelo Mtshali, Mphomela Katleho, Motaung Thabang, Mkabela Asande, Tlotliso Kasa, Stemer Tsebano &amp; Malefetsane Tabi</t>
  </si>
  <si>
    <t>Mr Khumalo</t>
  </si>
  <si>
    <t>The central problem experienced by CUT is inefficient and fragmented maintenance complaint management resulting from the absence of a centralized digital system for reporting, assigning, monitoring, escalating, resolving and evaluating maintenance complaints.</t>
  </si>
  <si>
    <t>Unclear Requirements from the Stakeholder</t>
  </si>
  <si>
    <t>Delayed agreement on the way forward and how the system should look or behave</t>
  </si>
  <si>
    <t>One of our group member is a member of the House Committee so he was able to explain the current process of the system currently in use.</t>
  </si>
  <si>
    <t>Resolved</t>
  </si>
  <si>
    <t>Unavailability of the Stakeholder</t>
  </si>
  <si>
    <t>No photographic evidence of our meetings with the Stakeholder</t>
  </si>
  <si>
    <t>We resorted to using meeting notes as evidence of engangement with the Stakeholder</t>
  </si>
  <si>
    <t>All Students</t>
  </si>
  <si>
    <t>Open</t>
  </si>
  <si>
    <t>Not enough time to complete all our stages of Phase 1</t>
  </si>
  <si>
    <t>Pressurised approach of completing the phase 1 stage of the project due to trying to meet the deadline</t>
  </si>
  <si>
    <t>Due date was extended from the 31st of August  to the 4th of Septemeber</t>
  </si>
  <si>
    <t>None</t>
  </si>
  <si>
    <t>Unable to have a physical meeting due to bad weather conditions on that particular day</t>
  </si>
  <si>
    <t xml:space="preserve">A day lost </t>
  </si>
  <si>
    <t xml:space="preserve">All the group members had a teams meeting to discuss what was meant to be discussed </t>
  </si>
  <si>
    <t>2026/08/17 - 2026/09/04</t>
  </si>
  <si>
    <t>Stakeholder Identification,described the current process, writing of the problem statement, Definition of the initial project scope, Assigned interview roles, prepared the interview questions,interview conduction, Organize the findings, Compiled the SRS, Created the Microsoft Project Schedule, Created the GitHub Repository, Created the SupaBase Project and Completed the Project Progress Workbook</t>
  </si>
  <si>
    <t xml:space="preserve">    None</t>
  </si>
  <si>
    <t>n/a</t>
  </si>
  <si>
    <t>No there were no participation concerns, every group member participated to their best capabilities.</t>
  </si>
  <si>
    <t>In the next phase the group will improve one of the biggest obstacle we had in phase one which is Time  Management</t>
  </si>
  <si>
    <t>Identifying the external stakeholder,documenting the current process and problem,defining the project aim, objectives and scope, preparing stakeholder interview questions, compiling the initial SRS,creating the initial MS Project schedule and Completing the progress report</t>
  </si>
  <si>
    <t>2026/08/20 - 2026/09/04</t>
  </si>
  <si>
    <t>Found and Identified a stakeholder to work with</t>
  </si>
  <si>
    <t>Unclear requirements from the stakeholder</t>
  </si>
  <si>
    <t>The SRS Document</t>
  </si>
  <si>
    <t>Stakeholder Interview Questions</t>
  </si>
  <si>
    <t>The Complete SRS Document</t>
  </si>
  <si>
    <t>Microsoft project File</t>
  </si>
  <si>
    <t>GitHub Repo Link</t>
  </si>
  <si>
    <t>Supabase Project Screenshots</t>
  </si>
  <si>
    <t>Updated Excel Project Progress tracker workbook</t>
  </si>
  <si>
    <t>One of the most important lessons we learned was that understanding the stakeholder's actual problem before designing the system is essential. Through our stakeholder engagement, we gained a clearer understanding that the main problem at CUT was the inefficient and fragmented management of maintenance complaints and the need for a centralised digital system to report, assign, monitor, escalate, resolve and evaluate maintenance issues.</t>
  </si>
  <si>
    <t>When disagreements occurred within the group, we openly communicated and discussed them. Each and every group member is given the opportunity to express their opinion and suggest what's the best way to move forward. If an agreement couldn't be reached we opted for voting and the suggestion with the major votes won. When delays occured we reshared tasks and made sure that we found the root of the delay.</t>
  </si>
  <si>
    <t>All group members contributed fairly and completed their assigned responsibilities. Tasks were divided fairly and equally, the tasks also came with the due date and no one submitted late or an uncomplete task. Before proceeding on something everyone came up with an idea or suggestion on how we can undertake a certain situation as well as the advantage of taking their approach, however an idea or suggestion with the most votes were taken.</t>
  </si>
  <si>
    <t xml:space="preserve">From engaging with the stakeholder, we learned that understanding the actual problem faced by an organisation is very necessary before developing a system. At first, we thought that our system mainly needed to allow students to report maintenance problems. However, after learning more about the current process, we realised that reporting the problem is one of the many aspects.
</t>
  </si>
  <si>
    <t>Tasks were divided according to each group member's strength,capabilities and also interests</t>
  </si>
  <si>
    <t>Improve communication and coordination with the stakeholder.</t>
  </si>
  <si>
    <t>Improve task planning and progress monitoring.</t>
  </si>
  <si>
    <t>The priority for the next phase is to conduct a feasibility study, prepare a project risk register and refine the SRS and project plan</t>
  </si>
  <si>
    <t>The group experienced several challenges. Initially, some stakeholder requirements were unclear, which delayed agreement on how the system should behave. We addressed this challenge by using information from a group member who is familiar with the House Committee and the current maintenance complaint process. Another challenge was the limited availability of the stakeholder, which made it difficult to obtain photographic evidence of stakeholder meetings. Time management was another major challenge because the group had limited time to complete all Phase 1 activities, which created pressure near the deadline.</t>
  </si>
  <si>
    <t>Several aspects of the project went well. The group successfully identified and confirmed the external stakeholder, documented the current process and problem, prepared stakeholder interview questions, conducted the stakeholder interview, organised the findings and compiled the initial Software Requirements Specification.. These achievements were possible because tasks were divided among group members according to specific responsibilities, allowing each member to contribute to the completion of Phase 1.</t>
  </si>
  <si>
    <t xml:space="preserve"> Conduct a feasibility study, prepare a project risk register and refine the SRS and project plan</t>
  </si>
  <si>
    <t>Create a project intended to improve the way maintenance complaints are reported, processed, monitored, resolved and verified</t>
  </si>
  <si>
    <t>Conduct a feasibility study, prepare a project risk register and refine the SRS and project plan</t>
  </si>
  <si>
    <t xml:space="preserve">CUT Estate and Infrastructure Department </t>
  </si>
  <si>
    <t>Excel Progress report</t>
  </si>
  <si>
    <t>Interview conducted successfully and the document was well compiled</t>
  </si>
  <si>
    <t>The document of the current process and problem was well defined</t>
  </si>
  <si>
    <t>The GitHub Repository works exceptionally well</t>
  </si>
  <si>
    <t>The Stakeholder was found and gave confirmation</t>
  </si>
  <si>
    <t>A good Microsoft project schedule that has perfect scheduling</t>
  </si>
  <si>
    <t>SRS is well compiled and has all the necessary information</t>
  </si>
  <si>
    <t>Supabase project is created</t>
  </si>
  <si>
    <t>Interview questions managed to get us all the necessary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</si>
</sst>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10">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11"/>
      <name val="Aptos"/>
      <family val="2"/>
    </font>
    <font>
      <sz val="11"/>
      <color rgb="FF262626"/>
      <name val="Arial"/>
      <family val="2"/>
    </font>
    <font>
      <sz val="8"/>
      <name val="Carlito"/>
    </font>
    <font>
      <b/>
      <sz val="11"/>
      <name val="Aptos"/>
      <family val="2"/>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4">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7" fontId="0" fillId="0" borderId="8" xfId="0" applyNumberFormat="1" applyBorder="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0" fontId="6" fillId="0" borderId="0" xfId="0" applyFont="1" applyAlignment="1">
      <alignment horizontal="center" vertical="top" wrapText="1"/>
    </xf>
    <xf numFmtId="0" fontId="1" fillId="2"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6" fillId="0" borderId="0" xfId="0" applyFont="1" applyAlignment="1">
      <alignment wrapText="1"/>
    </xf>
    <xf numFmtId="0" fontId="9"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wrapText="1"/>
    </xf>
    <xf numFmtId="0" fontId="7" fillId="0" borderId="0" xfId="0" applyFont="1" applyAlignment="1">
      <alignment vertical="top" wrapText="1"/>
    </xf>
    <xf numFmtId="0" fontId="0" fillId="0" borderId="0" xfId="0" applyAlignment="1">
      <alignment wrapText="1"/>
    </xf>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11</c:v>
                </c:pt>
                <c:pt idx="1">
                  <c:v>0</c:v>
                </c:pt>
                <c:pt idx="2">
                  <c:v>0</c:v>
                </c:pt>
                <c:pt idx="3">
                  <c:v>0</c:v>
                </c:pt>
                <c:pt idx="4">
                  <c:v>0</c:v>
                </c:pt>
                <c:pt idx="5">
                  <c:v>0</c:v>
                </c:pt>
              </c:numCache>
            </c:numRef>
          </c:val>
          <c:extLst>
            <c:ext xmlns:c16="http://schemas.microsoft.com/office/drawing/2014/chart" uri="{C3380CC4-5D6E-409C-BE32-E72D297353CC}">
              <c16:uniqueId val="{00000000-C348-4801-B677-8768A1AED3A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A12" workbookViewId="0">
      <selection activeCell="E17" sqref="E17"/>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30" customHeight="1">
      <c r="A1" s="30" t="s">
        <v>0</v>
      </c>
      <c r="B1" s="30"/>
      <c r="C1" s="30"/>
      <c r="D1" s="30"/>
      <c r="E1" s="30"/>
      <c r="F1" s="30"/>
      <c r="G1" s="30"/>
      <c r="H1" s="30"/>
    </row>
    <row r="3" spans="1:8" ht="42" customHeight="1">
      <c r="A3" s="34" t="s">
        <v>1</v>
      </c>
      <c r="B3" s="34"/>
      <c r="C3" s="34"/>
      <c r="D3" s="34"/>
      <c r="E3" s="34"/>
      <c r="F3" s="34"/>
      <c r="G3" s="34"/>
      <c r="H3" s="34"/>
    </row>
    <row r="5" spans="1:8" ht="15">
      <c r="A5" s="1" t="s">
        <v>2</v>
      </c>
      <c r="B5" s="2" t="s">
        <v>3</v>
      </c>
      <c r="D5" s="35" t="s">
        <v>4</v>
      </c>
      <c r="E5" s="36"/>
      <c r="F5" s="37"/>
      <c r="G5" s="37"/>
      <c r="H5" s="37"/>
    </row>
    <row r="6" spans="1:8" ht="33.950000000000003" customHeight="1">
      <c r="A6" s="3" t="s">
        <v>5</v>
      </c>
      <c r="B6" s="4" t="s">
        <v>6</v>
      </c>
      <c r="D6" s="3" t="s">
        <v>7</v>
      </c>
      <c r="E6" s="4" t="s">
        <v>8</v>
      </c>
    </row>
    <row r="7" spans="1:8" ht="33.950000000000003" customHeight="1">
      <c r="A7" s="3" t="s">
        <v>9</v>
      </c>
      <c r="B7" s="4" t="s">
        <v>10</v>
      </c>
      <c r="D7" s="3" t="s">
        <v>11</v>
      </c>
      <c r="E7" s="4" t="s">
        <v>12</v>
      </c>
    </row>
    <row r="8" spans="1:8" ht="33.950000000000003" customHeight="1">
      <c r="A8" s="3" t="s">
        <v>13</v>
      </c>
      <c r="B8" s="4" t="s">
        <v>14</v>
      </c>
      <c r="D8" s="3" t="s">
        <v>15</v>
      </c>
      <c r="E8" s="4" t="s">
        <v>16</v>
      </c>
    </row>
    <row r="9" spans="1:8" ht="33.950000000000003" customHeight="1">
      <c r="A9" s="3" t="s">
        <v>17</v>
      </c>
      <c r="B9" s="4" t="s">
        <v>18</v>
      </c>
      <c r="D9" s="3" t="s">
        <v>19</v>
      </c>
      <c r="E9" s="4" t="s">
        <v>20</v>
      </c>
    </row>
    <row r="10" spans="1:8" ht="33.950000000000003" customHeight="1">
      <c r="A10" s="3" t="s">
        <v>21</v>
      </c>
      <c r="B10" s="4" t="s">
        <v>22</v>
      </c>
      <c r="D10" s="3" t="s">
        <v>23</v>
      </c>
      <c r="E10" s="4" t="s">
        <v>24</v>
      </c>
    </row>
    <row r="11" spans="1:8" ht="33.950000000000003" customHeight="1">
      <c r="A11" s="3" t="s">
        <v>25</v>
      </c>
      <c r="B11" s="4" t="s">
        <v>26</v>
      </c>
      <c r="D11" s="5" t="s">
        <v>27</v>
      </c>
      <c r="E11" s="6" t="s">
        <v>28</v>
      </c>
    </row>
    <row r="12" spans="1:8" ht="28.5">
      <c r="A12" s="5" t="s">
        <v>29</v>
      </c>
      <c r="B12" s="6" t="s">
        <v>30</v>
      </c>
    </row>
    <row r="13" spans="1:8" ht="15">
      <c r="D13" s="35" t="s">
        <v>31</v>
      </c>
      <c r="E13" s="36"/>
      <c r="F13" s="37"/>
      <c r="G13" s="37"/>
      <c r="H13" s="37"/>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election activeCell="B10" sqref="B10"/>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30" customHeight="1">
      <c r="A1" s="30" t="s">
        <v>40</v>
      </c>
      <c r="B1" s="30"/>
      <c r="C1" s="30"/>
      <c r="D1" s="30"/>
      <c r="E1" s="30"/>
      <c r="F1" s="30"/>
      <c r="G1" s="30"/>
      <c r="H1" s="30"/>
      <c r="I1" s="30"/>
      <c r="J1" s="30"/>
      <c r="K1" s="30"/>
      <c r="L1" s="30"/>
    </row>
    <row r="3" spans="1:12" ht="15">
      <c r="A3" s="1" t="s">
        <v>41</v>
      </c>
      <c r="B3" s="2" t="s">
        <v>42</v>
      </c>
      <c r="F3" s="1" t="s">
        <v>43</v>
      </c>
      <c r="G3" s="2" t="s">
        <v>44</v>
      </c>
    </row>
    <row r="4" spans="1:12" ht="27.95" customHeight="1">
      <c r="A4" s="3" t="s">
        <v>45</v>
      </c>
      <c r="B4" s="7" t="s">
        <v>174</v>
      </c>
      <c r="F4" s="3" t="s">
        <v>46</v>
      </c>
      <c r="G4" s="10">
        <f>COUNTIF('Task Progress'!H2:H101,"Completed")</f>
        <v>11</v>
      </c>
    </row>
    <row r="5" spans="1:12" ht="27.95" customHeight="1">
      <c r="A5" s="3" t="s">
        <v>47</v>
      </c>
      <c r="B5" s="39" t="s">
        <v>171</v>
      </c>
      <c r="F5" s="3" t="s">
        <v>48</v>
      </c>
      <c r="G5" s="10">
        <f>COUNTIF('Task Progress'!H2:H101,"In Progress")</f>
        <v>0</v>
      </c>
    </row>
    <row r="6" spans="1:12" ht="27.95" customHeight="1">
      <c r="A6" s="3" t="s">
        <v>49</v>
      </c>
      <c r="B6" s="38" t="s">
        <v>255</v>
      </c>
      <c r="F6" s="3" t="s">
        <v>50</v>
      </c>
      <c r="G6" s="10">
        <f>COUNTIF('Task Progress'!H2:H101,"Not Started")</f>
        <v>0</v>
      </c>
    </row>
    <row r="7" spans="1:12" ht="27.95" customHeight="1">
      <c r="A7" s="3" t="s">
        <v>51</v>
      </c>
      <c r="B7" s="7" t="s">
        <v>173</v>
      </c>
      <c r="F7" s="3" t="s">
        <v>52</v>
      </c>
      <c r="G7" s="10">
        <f>COUNTIF('Task Progress'!H2:H101,"Delayed")</f>
        <v>0</v>
      </c>
    </row>
    <row r="8" spans="1:12" ht="27.95" customHeight="1">
      <c r="A8" s="3" t="s">
        <v>53</v>
      </c>
      <c r="B8" s="7" t="s">
        <v>32</v>
      </c>
      <c r="F8" s="3" t="s">
        <v>54</v>
      </c>
      <c r="G8" s="10">
        <f>COUNTIF('Task Progress'!H2:H101,"Blocked")</f>
        <v>0</v>
      </c>
    </row>
    <row r="9" spans="1:12" ht="27.95" customHeight="1">
      <c r="A9" s="3" t="s">
        <v>55</v>
      </c>
      <c r="B9" s="7" t="s">
        <v>232</v>
      </c>
      <c r="F9" s="5" t="s">
        <v>56</v>
      </c>
      <c r="G9" s="11">
        <f ca="1">COUNTIF('Task Progress'!M2:M101,"Overdue")</f>
        <v>0</v>
      </c>
    </row>
    <row r="10" spans="1:12" ht="27.95" customHeight="1">
      <c r="A10" s="3" t="s">
        <v>57</v>
      </c>
      <c r="B10" s="7" t="s">
        <v>46</v>
      </c>
    </row>
    <row r="11" spans="1:12" ht="27.95" customHeight="1">
      <c r="A11" s="3" t="s">
        <v>58</v>
      </c>
      <c r="B11" s="8">
        <f>IFERROR(SUM('Task Progress'!I2:I101)/COUNTIF('Task Progress'!D2:D101,"&lt;&gt;")/100,0)</f>
        <v>0.91666666666666674</v>
      </c>
      <c r="F11" s="1" t="s">
        <v>59</v>
      </c>
      <c r="G11" s="2" t="s">
        <v>44</v>
      </c>
    </row>
    <row r="12" spans="1:12" ht="48" customHeight="1">
      <c r="A12" s="3" t="s">
        <v>60</v>
      </c>
      <c r="B12" s="7" t="s">
        <v>233</v>
      </c>
      <c r="F12" s="3" t="s">
        <v>61</v>
      </c>
      <c r="G12" s="10">
        <f>COUNTIF('Individual Contributions'!E3:E201,"?*")</f>
        <v>8</v>
      </c>
    </row>
    <row r="13" spans="1:12" ht="48" customHeight="1">
      <c r="A13" s="3" t="s">
        <v>62</v>
      </c>
      <c r="B13" s="7" t="s">
        <v>234</v>
      </c>
      <c r="F13" s="3" t="s">
        <v>63</v>
      </c>
      <c r="G13" s="10">
        <f>COUNTIFS('Individual Contributions'!E3:E201,"?*",'Individual Contributions'!J3:J201,"Yes")</f>
        <v>8</v>
      </c>
    </row>
    <row r="14" spans="1:12" ht="48" customHeight="1">
      <c r="A14" s="5" t="s">
        <v>64</v>
      </c>
      <c r="B14" s="41" t="s">
        <v>252</v>
      </c>
      <c r="F14" s="3" t="s">
        <v>65</v>
      </c>
      <c r="G14" s="10">
        <f>COUNTIFS('Individual Contributions'!E3:E201,"?*",'Individual Contributions'!J3:J201,"No")</f>
        <v>0</v>
      </c>
    </row>
    <row r="15" spans="1:12" ht="15">
      <c r="F15" s="5" t="s">
        <v>66</v>
      </c>
      <c r="G15" s="11">
        <f>COUNT('Stakeholder Engagement'!A3:A101)</f>
        <v>1</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abSelected="1" workbookViewId="0">
      <selection activeCell="J19" sqref="J19"/>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30" customHeight="1">
      <c r="A1" s="30" t="s">
        <v>67</v>
      </c>
      <c r="B1" s="30"/>
      <c r="C1" s="30"/>
      <c r="D1" s="30"/>
      <c r="E1" s="30"/>
      <c r="F1" s="30"/>
      <c r="G1" s="30"/>
      <c r="H1" s="30"/>
      <c r="I1" s="30"/>
      <c r="J1" s="30"/>
      <c r="K1" s="30"/>
      <c r="L1" s="30"/>
      <c r="M1" s="30"/>
    </row>
    <row r="2" spans="1:13" ht="30">
      <c r="A2" s="1" t="s">
        <v>68</v>
      </c>
      <c r="B2" s="15" t="s">
        <v>69</v>
      </c>
      <c r="C2" s="15" t="s">
        <v>70</v>
      </c>
      <c r="D2" s="15" t="s">
        <v>71</v>
      </c>
      <c r="E2" s="15" t="s">
        <v>72</v>
      </c>
      <c r="F2" s="15" t="s">
        <v>73</v>
      </c>
      <c r="G2" s="15" t="s">
        <v>74</v>
      </c>
      <c r="H2" s="15" t="s">
        <v>75</v>
      </c>
      <c r="I2" s="15" t="s">
        <v>76</v>
      </c>
      <c r="J2" s="15" t="s">
        <v>77</v>
      </c>
      <c r="K2" s="15" t="s">
        <v>78</v>
      </c>
      <c r="L2" s="15" t="s">
        <v>79</v>
      </c>
      <c r="M2" s="2" t="s">
        <v>80</v>
      </c>
    </row>
    <row r="3" spans="1:13">
      <c r="A3" s="16" t="s">
        <v>81</v>
      </c>
      <c r="B3" s="12" t="s">
        <v>32</v>
      </c>
      <c r="C3" s="12" t="s">
        <v>82</v>
      </c>
      <c r="D3" s="12" t="s">
        <v>83</v>
      </c>
      <c r="E3" s="12" t="s">
        <v>175</v>
      </c>
      <c r="F3" s="13">
        <v>46251</v>
      </c>
      <c r="G3" s="13">
        <v>46253</v>
      </c>
      <c r="H3" s="12" t="s">
        <v>46</v>
      </c>
      <c r="I3" s="14">
        <v>100</v>
      </c>
      <c r="J3" s="12" t="s">
        <v>199</v>
      </c>
      <c r="K3" s="12" t="s">
        <v>195</v>
      </c>
      <c r="L3" s="12"/>
      <c r="M3" s="17" t="str">
        <f t="shared" ref="M3:M34" ca="1" si="0">IF(D3="","",IF(H3="Completed","Completed",IF(H3="Blocked","Blocked",IF(H3="Delayed","Delayed",IF(AND(G3&lt;&gt;"",G3&lt;TODAY(),H3&lt;&gt;"Completed"),"Overdue","On Track")))))</f>
        <v>Completed</v>
      </c>
    </row>
    <row r="4" spans="1:13">
      <c r="A4" s="16" t="s">
        <v>84</v>
      </c>
      <c r="B4" s="12" t="s">
        <v>32</v>
      </c>
      <c r="C4" s="12" t="s">
        <v>82</v>
      </c>
      <c r="D4" s="12" t="s">
        <v>85</v>
      </c>
      <c r="E4" s="12" t="s">
        <v>177</v>
      </c>
      <c r="F4" s="13">
        <v>46254</v>
      </c>
      <c r="G4" s="13">
        <v>46256</v>
      </c>
      <c r="H4" s="12" t="s">
        <v>46</v>
      </c>
      <c r="I4" s="14">
        <v>100</v>
      </c>
      <c r="J4" s="12" t="s">
        <v>235</v>
      </c>
      <c r="K4" s="12" t="s">
        <v>195</v>
      </c>
      <c r="L4" s="12"/>
      <c r="M4" s="17" t="str">
        <f t="shared" ca="1" si="0"/>
        <v>Completed</v>
      </c>
    </row>
    <row r="5" spans="1:13">
      <c r="A5" s="16" t="s">
        <v>86</v>
      </c>
      <c r="B5" s="12" t="s">
        <v>32</v>
      </c>
      <c r="C5" s="12" t="s">
        <v>82</v>
      </c>
      <c r="D5" s="12" t="s">
        <v>87</v>
      </c>
      <c r="E5" s="12" t="s">
        <v>175</v>
      </c>
      <c r="F5" s="13">
        <v>46256</v>
      </c>
      <c r="G5" s="13">
        <v>46258</v>
      </c>
      <c r="H5" s="12" t="s">
        <v>46</v>
      </c>
      <c r="I5" s="14">
        <v>100</v>
      </c>
      <c r="J5" s="12" t="s">
        <v>235</v>
      </c>
      <c r="K5" s="12" t="s">
        <v>195</v>
      </c>
      <c r="L5" s="12"/>
      <c r="M5" s="17" t="str">
        <f t="shared" ca="1" si="0"/>
        <v>Completed</v>
      </c>
    </row>
    <row r="6" spans="1:13">
      <c r="A6" s="16" t="s">
        <v>88</v>
      </c>
      <c r="B6" s="12" t="s">
        <v>32</v>
      </c>
      <c r="C6" s="12" t="s">
        <v>89</v>
      </c>
      <c r="D6" s="12" t="s">
        <v>90</v>
      </c>
      <c r="E6" s="12" t="s">
        <v>184</v>
      </c>
      <c r="F6" s="13">
        <v>46258</v>
      </c>
      <c r="G6" s="13">
        <v>46259</v>
      </c>
      <c r="H6" s="12" t="s">
        <v>46</v>
      </c>
      <c r="I6" s="14">
        <v>100</v>
      </c>
      <c r="J6" s="12" t="s">
        <v>236</v>
      </c>
      <c r="K6" s="12" t="s">
        <v>195</v>
      </c>
      <c r="L6" s="12"/>
      <c r="M6" s="17" t="str">
        <f t="shared" ca="1" si="0"/>
        <v>Completed</v>
      </c>
    </row>
    <row r="7" spans="1:13" ht="28.5">
      <c r="A7" s="16" t="s">
        <v>91</v>
      </c>
      <c r="B7" s="12" t="s">
        <v>32</v>
      </c>
      <c r="C7" s="12" t="s">
        <v>89</v>
      </c>
      <c r="D7" s="12" t="s">
        <v>92</v>
      </c>
      <c r="E7" s="12" t="s">
        <v>179</v>
      </c>
      <c r="F7" s="13">
        <v>46259</v>
      </c>
      <c r="G7" s="13">
        <v>46260</v>
      </c>
      <c r="H7" s="12" t="s">
        <v>46</v>
      </c>
      <c r="I7" s="14">
        <v>100</v>
      </c>
      <c r="J7" s="12" t="s">
        <v>196</v>
      </c>
      <c r="K7" s="12" t="s">
        <v>195</v>
      </c>
      <c r="L7" s="12"/>
      <c r="M7" s="17" t="str">
        <f t="shared" ca="1" si="0"/>
        <v>Completed</v>
      </c>
    </row>
    <row r="8" spans="1:13">
      <c r="A8" s="16" t="s">
        <v>93</v>
      </c>
      <c r="B8" s="12" t="s">
        <v>32</v>
      </c>
      <c r="C8" s="12" t="s">
        <v>94</v>
      </c>
      <c r="D8" s="12" t="s">
        <v>95</v>
      </c>
      <c r="E8" s="12" t="s">
        <v>182</v>
      </c>
      <c r="F8" s="13">
        <v>46262</v>
      </c>
      <c r="G8" s="13">
        <v>46264</v>
      </c>
      <c r="H8" s="12" t="s">
        <v>46</v>
      </c>
      <c r="I8" s="14">
        <v>100</v>
      </c>
      <c r="J8" s="12" t="s">
        <v>237</v>
      </c>
      <c r="K8" s="12" t="s">
        <v>195</v>
      </c>
      <c r="L8" s="12"/>
      <c r="M8" s="17" t="str">
        <f t="shared" ca="1" si="0"/>
        <v>Completed</v>
      </c>
    </row>
    <row r="9" spans="1:13">
      <c r="A9" s="16" t="s">
        <v>96</v>
      </c>
      <c r="B9" s="12" t="s">
        <v>32</v>
      </c>
      <c r="C9" s="12" t="s">
        <v>94</v>
      </c>
      <c r="D9" s="12" t="s">
        <v>97</v>
      </c>
      <c r="E9" s="12" t="s">
        <v>178</v>
      </c>
      <c r="F9" s="13">
        <v>46262</v>
      </c>
      <c r="G9" s="13">
        <v>46263</v>
      </c>
      <c r="H9" s="12" t="s">
        <v>46</v>
      </c>
      <c r="I9" s="14">
        <v>100</v>
      </c>
      <c r="J9" s="12" t="s">
        <v>238</v>
      </c>
      <c r="K9" s="12" t="s">
        <v>195</v>
      </c>
      <c r="L9" s="12"/>
      <c r="M9" s="17" t="str">
        <f t="shared" ca="1" si="0"/>
        <v>Completed</v>
      </c>
    </row>
    <row r="10" spans="1:13">
      <c r="A10" s="16" t="s">
        <v>98</v>
      </c>
      <c r="B10" s="12" t="s">
        <v>32</v>
      </c>
      <c r="C10" s="12" t="s">
        <v>94</v>
      </c>
      <c r="D10" s="12" t="s">
        <v>99</v>
      </c>
      <c r="E10" s="12" t="s">
        <v>176</v>
      </c>
      <c r="F10" s="13">
        <v>46262</v>
      </c>
      <c r="G10" s="13">
        <v>46262</v>
      </c>
      <c r="H10" s="12" t="s">
        <v>46</v>
      </c>
      <c r="I10" s="14">
        <v>100</v>
      </c>
      <c r="J10" s="12" t="s">
        <v>239</v>
      </c>
      <c r="K10" s="12" t="s">
        <v>195</v>
      </c>
      <c r="L10" s="12"/>
      <c r="M10" s="17" t="str">
        <f t="shared" ca="1" si="0"/>
        <v>Completed</v>
      </c>
    </row>
    <row r="11" spans="1:13">
      <c r="A11" s="16" t="s">
        <v>100</v>
      </c>
      <c r="B11" s="12" t="s">
        <v>32</v>
      </c>
      <c r="C11" s="12" t="s">
        <v>94</v>
      </c>
      <c r="D11" s="12" t="s">
        <v>101</v>
      </c>
      <c r="E11" s="12" t="s">
        <v>183</v>
      </c>
      <c r="F11" s="13">
        <v>46263</v>
      </c>
      <c r="G11" s="13">
        <v>46264</v>
      </c>
      <c r="H11" s="12" t="s">
        <v>46</v>
      </c>
      <c r="I11" s="14">
        <v>100</v>
      </c>
      <c r="J11" s="12" t="s">
        <v>240</v>
      </c>
      <c r="K11" s="12" t="s">
        <v>195</v>
      </c>
      <c r="L11" s="12"/>
      <c r="M11" s="17" t="str">
        <f t="shared" ca="1" si="0"/>
        <v>Completed</v>
      </c>
    </row>
    <row r="12" spans="1:13" ht="28.5">
      <c r="A12" s="16" t="s">
        <v>102</v>
      </c>
      <c r="B12" s="12" t="s">
        <v>32</v>
      </c>
      <c r="C12" s="12" t="s">
        <v>94</v>
      </c>
      <c r="D12" s="12" t="s">
        <v>103</v>
      </c>
      <c r="E12" s="12" t="s">
        <v>180</v>
      </c>
      <c r="F12" s="13">
        <v>46265</v>
      </c>
      <c r="G12" s="13">
        <v>46267</v>
      </c>
      <c r="H12" s="12" t="s">
        <v>46</v>
      </c>
      <c r="I12" s="14">
        <v>100</v>
      </c>
      <c r="J12" s="42" t="s">
        <v>241</v>
      </c>
      <c r="K12" s="12" t="s">
        <v>195</v>
      </c>
      <c r="L12" s="12"/>
      <c r="M12" s="17" t="str">
        <f t="shared" ca="1" si="0"/>
        <v>Completed</v>
      </c>
    </row>
    <row r="13" spans="1:13">
      <c r="A13" s="16" t="s">
        <v>104</v>
      </c>
      <c r="B13" s="12" t="s">
        <v>32</v>
      </c>
      <c r="C13" s="12" t="s">
        <v>94</v>
      </c>
      <c r="D13" s="12" t="s">
        <v>105</v>
      </c>
      <c r="E13" s="12" t="s">
        <v>181</v>
      </c>
      <c r="F13" s="13">
        <v>46268</v>
      </c>
      <c r="G13" s="13">
        <v>46269</v>
      </c>
      <c r="H13" s="12" t="s">
        <v>46</v>
      </c>
      <c r="I13" s="14">
        <v>100</v>
      </c>
      <c r="J13" s="12" t="s">
        <v>256</v>
      </c>
      <c r="K13" s="12" t="s">
        <v>195</v>
      </c>
      <c r="L13" s="12"/>
      <c r="M13" s="17" t="str">
        <f t="shared" ca="1" si="0"/>
        <v>Completed</v>
      </c>
    </row>
    <row r="14" spans="1:13">
      <c r="A14" s="16"/>
      <c r="B14" s="12"/>
      <c r="C14" s="12"/>
      <c r="D14" s="12"/>
      <c r="E14" s="12"/>
      <c r="F14" s="13"/>
      <c r="G14" s="13"/>
      <c r="H14" s="12"/>
      <c r="I14" s="14"/>
      <c r="J14" s="12"/>
      <c r="K14" s="12"/>
      <c r="L14" s="12"/>
      <c r="M14" s="17" t="str">
        <f t="shared" ca="1" si="0"/>
        <v/>
      </c>
    </row>
    <row r="15" spans="1:13">
      <c r="A15" s="16"/>
      <c r="B15" s="12"/>
      <c r="C15" s="12"/>
      <c r="D15" s="12"/>
      <c r="E15" s="12"/>
      <c r="F15" s="13"/>
      <c r="G15" s="13"/>
      <c r="H15" s="12"/>
      <c r="I15" s="14"/>
      <c r="J15" s="12"/>
      <c r="K15" s="12"/>
      <c r="L15" s="12"/>
      <c r="M15" s="17" t="str">
        <f t="shared" ca="1" si="0"/>
        <v/>
      </c>
    </row>
    <row r="16" spans="1:13">
      <c r="A16" s="16"/>
      <c r="B16" s="12"/>
      <c r="C16" s="12"/>
      <c r="D16" s="12"/>
      <c r="E16" s="12"/>
      <c r="F16" s="13"/>
      <c r="G16" s="13"/>
      <c r="H16" s="12"/>
      <c r="I16" s="14"/>
      <c r="J16" s="12"/>
      <c r="K16" s="12"/>
      <c r="L16" s="12"/>
      <c r="M16" s="17" t="str">
        <f t="shared" ca="1" si="0"/>
        <v/>
      </c>
    </row>
    <row r="17" spans="1:13">
      <c r="A17" s="16"/>
      <c r="B17" s="12"/>
      <c r="C17" s="12"/>
      <c r="D17" s="12"/>
      <c r="E17" s="12"/>
      <c r="F17" s="13"/>
      <c r="G17" s="13"/>
      <c r="H17" s="12"/>
      <c r="I17" s="14"/>
      <c r="J17" s="12"/>
      <c r="K17" s="12"/>
      <c r="L17" s="12"/>
      <c r="M17" s="17" t="str">
        <f t="shared" ca="1" si="0"/>
        <v/>
      </c>
    </row>
    <row r="18" spans="1:13">
      <c r="A18" s="16"/>
      <c r="B18" s="12"/>
      <c r="C18" s="12"/>
      <c r="D18" s="12"/>
      <c r="E18" s="12"/>
      <c r="F18" s="13"/>
      <c r="G18" s="13"/>
      <c r="H18" s="12"/>
      <c r="I18" s="14"/>
      <c r="J18" s="12"/>
      <c r="K18" s="12"/>
      <c r="L18" s="12"/>
      <c r="M18" s="17" t="str">
        <f t="shared" ca="1" si="0"/>
        <v/>
      </c>
    </row>
    <row r="19" spans="1:13">
      <c r="A19" s="16"/>
      <c r="B19" s="12"/>
      <c r="C19" s="12"/>
      <c r="D19" s="12"/>
      <c r="E19" s="12"/>
      <c r="F19" s="13"/>
      <c r="G19" s="13"/>
      <c r="H19" s="12"/>
      <c r="I19" s="14"/>
      <c r="J19" s="12"/>
      <c r="K19" s="12"/>
      <c r="L19" s="12"/>
      <c r="M19" s="17" t="str">
        <f t="shared" ca="1" si="0"/>
        <v/>
      </c>
    </row>
    <row r="20" spans="1:13">
      <c r="A20" s="16"/>
      <c r="B20" s="12"/>
      <c r="C20" s="12"/>
      <c r="D20" s="12"/>
      <c r="E20" s="12"/>
      <c r="F20" s="13"/>
      <c r="G20" s="13"/>
      <c r="H20" s="12"/>
      <c r="I20" s="14"/>
      <c r="J20" s="12"/>
      <c r="K20" s="12"/>
      <c r="L20" s="12"/>
      <c r="M20" s="17" t="str">
        <f t="shared" ca="1" si="0"/>
        <v/>
      </c>
    </row>
    <row r="21" spans="1:13">
      <c r="A21" s="16"/>
      <c r="B21" s="12"/>
      <c r="C21" s="12"/>
      <c r="D21" s="12"/>
      <c r="E21" s="12"/>
      <c r="F21" s="13"/>
      <c r="G21" s="13"/>
      <c r="H21" s="12"/>
      <c r="I21" s="14"/>
      <c r="J21" s="12"/>
      <c r="K21" s="12"/>
      <c r="L21" s="12"/>
      <c r="M21" s="17" t="str">
        <f t="shared" ca="1" si="0"/>
        <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1">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I3:I101">
    <cfRule type="dataBar" priority="6">
      <dataBar>
        <cfvo type="min"/>
        <cfvo type="max"/>
        <color rgb="FF1F5A94"/>
      </dataBar>
    </cfRule>
    <cfRule type="dataBar" priority="7">
      <dataBar>
        <cfvo type="min"/>
        <cfvo type="max"/>
        <color rgb="FF1F5A94"/>
      </dataBar>
      <extLst>
        <ext xmlns:x14="http://schemas.microsoft.com/office/spreadsheetml/2009/9/main" uri="{B025F937-C7B1-47D3-B67F-A62EFF666E3E}">
          <x14:id>{47F2417F-5A51-25CB-3D69-48DA80333B65}</x14:id>
        </ext>
      </extLst>
    </cfRule>
  </conditionalFormatting>
  <conditionalFormatting sqref="M3:M101">
    <cfRule type="expression" dxfId="7" priority="5">
      <formula>M3="Overdue"</formula>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workbookViewId="0">
      <selection activeCell="A10" sqref="A10"/>
    </sheetView>
  </sheetViews>
  <sheetFormatPr defaultRowHeight="14.2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30" customHeight="1">
      <c r="A1" s="30" t="s">
        <v>106</v>
      </c>
      <c r="B1" s="30"/>
      <c r="C1" s="30"/>
      <c r="D1" s="30"/>
      <c r="E1" s="30"/>
      <c r="F1" s="30"/>
      <c r="G1" s="30"/>
      <c r="H1" s="30"/>
      <c r="I1" s="30"/>
      <c r="J1" s="30"/>
      <c r="K1" s="30"/>
      <c r="L1" s="30"/>
    </row>
    <row r="2" spans="1:12" ht="30">
      <c r="A2" s="1" t="s">
        <v>107</v>
      </c>
      <c r="B2" s="15" t="s">
        <v>108</v>
      </c>
      <c r="C2" s="15" t="s">
        <v>69</v>
      </c>
      <c r="D2" s="15" t="s">
        <v>70</v>
      </c>
      <c r="E2" s="15" t="s">
        <v>109</v>
      </c>
      <c r="F2" s="15" t="s">
        <v>110</v>
      </c>
      <c r="G2" s="15" t="s">
        <v>111</v>
      </c>
      <c r="H2" s="15" t="s">
        <v>112</v>
      </c>
      <c r="I2" s="15" t="s">
        <v>77</v>
      </c>
      <c r="J2" s="15" t="s">
        <v>78</v>
      </c>
      <c r="K2" s="15" t="s">
        <v>113</v>
      </c>
      <c r="L2" s="2" t="s">
        <v>114</v>
      </c>
    </row>
    <row r="3" spans="1:12" ht="42.75">
      <c r="A3" s="16" t="s">
        <v>179</v>
      </c>
      <c r="B3" s="12">
        <v>224005352</v>
      </c>
      <c r="C3" s="12" t="s">
        <v>32</v>
      </c>
      <c r="D3" s="12" t="s">
        <v>186</v>
      </c>
      <c r="E3" s="40" t="s">
        <v>92</v>
      </c>
      <c r="F3" s="12" t="s">
        <v>187</v>
      </c>
      <c r="G3" s="13">
        <v>46260</v>
      </c>
      <c r="H3" s="23">
        <v>7</v>
      </c>
      <c r="I3" s="12" t="s">
        <v>196</v>
      </c>
      <c r="J3" s="12" t="s">
        <v>195</v>
      </c>
      <c r="K3" s="13">
        <v>46269</v>
      </c>
      <c r="L3" s="17" t="s">
        <v>257</v>
      </c>
    </row>
    <row r="4" spans="1:12" ht="42.75">
      <c r="A4" s="16" t="s">
        <v>180</v>
      </c>
      <c r="B4" s="12">
        <v>224120586</v>
      </c>
      <c r="C4" s="12" t="s">
        <v>32</v>
      </c>
      <c r="D4" s="12" t="s">
        <v>186</v>
      </c>
      <c r="E4" s="12" t="s">
        <v>85</v>
      </c>
      <c r="F4" s="12" t="s">
        <v>188</v>
      </c>
      <c r="G4" s="13">
        <v>46256</v>
      </c>
      <c r="H4" s="23">
        <v>10</v>
      </c>
      <c r="I4" s="12" t="s">
        <v>197</v>
      </c>
      <c r="J4" s="12" t="s">
        <v>195</v>
      </c>
      <c r="K4" s="13">
        <v>46269</v>
      </c>
      <c r="L4" s="17" t="s">
        <v>258</v>
      </c>
    </row>
    <row r="5" spans="1:12" ht="28.5">
      <c r="A5" s="16" t="s">
        <v>176</v>
      </c>
      <c r="B5" s="12">
        <v>224124912</v>
      </c>
      <c r="C5" s="12" t="s">
        <v>32</v>
      </c>
      <c r="D5" s="12" t="s">
        <v>186</v>
      </c>
      <c r="E5" s="12" t="s">
        <v>99</v>
      </c>
      <c r="F5" s="12" t="s">
        <v>189</v>
      </c>
      <c r="G5" s="13">
        <v>46262</v>
      </c>
      <c r="H5" s="23">
        <v>8.5</v>
      </c>
      <c r="I5" s="12" t="s">
        <v>198</v>
      </c>
      <c r="J5" s="12" t="s">
        <v>195</v>
      </c>
      <c r="K5" s="13">
        <v>46269</v>
      </c>
      <c r="L5" s="17" t="s">
        <v>259</v>
      </c>
    </row>
    <row r="6" spans="1:12" ht="28.5">
      <c r="A6" s="16" t="s">
        <v>175</v>
      </c>
      <c r="B6" s="12">
        <v>224124382</v>
      </c>
      <c r="C6" s="12" t="s">
        <v>32</v>
      </c>
      <c r="D6" s="12" t="s">
        <v>186</v>
      </c>
      <c r="E6" s="12" t="s">
        <v>83</v>
      </c>
      <c r="F6" s="12" t="s">
        <v>190</v>
      </c>
      <c r="G6" s="13">
        <v>46253</v>
      </c>
      <c r="H6" s="23">
        <v>10</v>
      </c>
      <c r="I6" s="12" t="s">
        <v>199</v>
      </c>
      <c r="J6" s="12" t="s">
        <v>195</v>
      </c>
      <c r="K6" s="13">
        <v>46269</v>
      </c>
      <c r="L6" s="17" t="s">
        <v>260</v>
      </c>
    </row>
    <row r="7" spans="1:12" ht="42.75">
      <c r="A7" s="16" t="s">
        <v>178</v>
      </c>
      <c r="B7" s="12">
        <v>224063746</v>
      </c>
      <c r="C7" s="12" t="s">
        <v>32</v>
      </c>
      <c r="D7" s="12" t="s">
        <v>186</v>
      </c>
      <c r="E7" s="12" t="s">
        <v>97</v>
      </c>
      <c r="F7" s="12" t="s">
        <v>191</v>
      </c>
      <c r="G7" s="13">
        <v>46263</v>
      </c>
      <c r="H7" s="23">
        <v>12.5</v>
      </c>
      <c r="I7" s="12" t="s">
        <v>200</v>
      </c>
      <c r="J7" s="12" t="s">
        <v>195</v>
      </c>
      <c r="K7" s="13">
        <v>46269</v>
      </c>
      <c r="L7" s="17" t="s">
        <v>261</v>
      </c>
    </row>
    <row r="8" spans="1:12" ht="28.5">
      <c r="A8" s="16" t="s">
        <v>185</v>
      </c>
      <c r="B8" s="12">
        <v>224086876</v>
      </c>
      <c r="C8" s="12" t="s">
        <v>32</v>
      </c>
      <c r="D8" s="12" t="s">
        <v>186</v>
      </c>
      <c r="E8" s="12" t="s">
        <v>95</v>
      </c>
      <c r="F8" s="12" t="s">
        <v>192</v>
      </c>
      <c r="G8" s="13">
        <v>46264</v>
      </c>
      <c r="H8" s="23">
        <v>11</v>
      </c>
      <c r="I8" s="12" t="s">
        <v>201</v>
      </c>
      <c r="J8" s="12" t="s">
        <v>195</v>
      </c>
      <c r="K8" s="13">
        <v>46269</v>
      </c>
      <c r="L8" s="17" t="s">
        <v>262</v>
      </c>
    </row>
    <row r="9" spans="1:12" ht="28.5">
      <c r="A9" s="16" t="s">
        <v>183</v>
      </c>
      <c r="B9" s="12">
        <v>222022131</v>
      </c>
      <c r="C9" s="12" t="s">
        <v>32</v>
      </c>
      <c r="D9" s="12" t="s">
        <v>186</v>
      </c>
      <c r="E9" s="12" t="s">
        <v>101</v>
      </c>
      <c r="F9" s="12" t="s">
        <v>193</v>
      </c>
      <c r="G9" s="13">
        <v>46264</v>
      </c>
      <c r="H9" s="23">
        <v>5.5</v>
      </c>
      <c r="I9" s="12" t="s">
        <v>202</v>
      </c>
      <c r="J9" s="12" t="s">
        <v>195</v>
      </c>
      <c r="K9" s="13">
        <v>46269</v>
      </c>
      <c r="L9" s="17" t="s">
        <v>263</v>
      </c>
    </row>
    <row r="10" spans="1:12" ht="14.25" customHeight="1">
      <c r="A10" s="16" t="s">
        <v>184</v>
      </c>
      <c r="B10" s="12">
        <v>224049675</v>
      </c>
      <c r="C10" s="12" t="s">
        <v>32</v>
      </c>
      <c r="D10" s="12" t="s">
        <v>186</v>
      </c>
      <c r="E10" s="12" t="s">
        <v>90</v>
      </c>
      <c r="F10" s="12" t="s">
        <v>194</v>
      </c>
      <c r="G10" s="13">
        <v>46259</v>
      </c>
      <c r="H10" s="23">
        <v>5</v>
      </c>
      <c r="I10" s="12" t="s">
        <v>203</v>
      </c>
      <c r="J10" s="12" t="s">
        <v>195</v>
      </c>
      <c r="K10" s="13">
        <v>46269</v>
      </c>
      <c r="L10" s="17" t="s">
        <v>264</v>
      </c>
    </row>
    <row r="11" spans="1:12">
      <c r="A11" s="16"/>
      <c r="B11" s="12"/>
      <c r="C11" s="12"/>
      <c r="D11" s="12"/>
      <c r="E11" s="12"/>
      <c r="F11" s="12"/>
      <c r="G11" s="13"/>
      <c r="H11" s="23"/>
      <c r="I11" s="12"/>
      <c r="J11" s="12"/>
      <c r="K11" s="13"/>
      <c r="L11" s="17"/>
    </row>
    <row r="12" spans="1:12">
      <c r="A12" s="16"/>
      <c r="B12" s="12"/>
      <c r="C12" s="12"/>
      <c r="D12" s="12"/>
      <c r="E12" s="12"/>
      <c r="F12" s="12"/>
      <c r="G12" s="13"/>
      <c r="H12" s="23"/>
      <c r="I12" s="12"/>
      <c r="J12" s="12"/>
      <c r="K12" s="13"/>
      <c r="L12" s="17"/>
    </row>
    <row r="13" spans="1:12">
      <c r="A13" s="16"/>
      <c r="B13" s="12"/>
      <c r="C13" s="12"/>
      <c r="D13" s="12"/>
      <c r="E13" s="12"/>
      <c r="F13" s="12"/>
      <c r="G13" s="13"/>
      <c r="H13" s="23"/>
      <c r="I13" s="12"/>
      <c r="J13" s="12"/>
      <c r="K13" s="13"/>
      <c r="L13" s="17"/>
    </row>
    <row r="14" spans="1:12">
      <c r="A14" s="16"/>
      <c r="B14" s="12"/>
      <c r="C14" s="12"/>
      <c r="D14" s="12"/>
      <c r="E14" s="12"/>
      <c r="F14" s="12"/>
      <c r="G14" s="13"/>
      <c r="H14" s="23"/>
      <c r="I14" s="12"/>
      <c r="J14" s="12"/>
      <c r="K14" s="13"/>
      <c r="L14" s="17"/>
    </row>
    <row r="15" spans="1:12">
      <c r="A15" s="16"/>
      <c r="B15" s="12"/>
      <c r="C15" s="12"/>
      <c r="D15" s="12"/>
      <c r="E15" s="12"/>
      <c r="F15" s="12"/>
      <c r="G15" s="13"/>
      <c r="H15" s="23"/>
      <c r="I15" s="12"/>
      <c r="J15" s="12"/>
      <c r="K15" s="13"/>
      <c r="L15" s="17"/>
    </row>
    <row r="16" spans="1:12">
      <c r="A16" s="16"/>
      <c r="B16" s="12"/>
      <c r="C16" s="12"/>
      <c r="D16" s="12"/>
      <c r="E16" s="12"/>
      <c r="F16" s="12"/>
      <c r="G16" s="13"/>
      <c r="H16" s="23"/>
      <c r="I16" s="12"/>
      <c r="J16" s="12"/>
      <c r="K16" s="13"/>
      <c r="L16" s="17"/>
    </row>
    <row r="17" spans="1:12">
      <c r="A17" s="16"/>
      <c r="B17" s="12"/>
      <c r="C17" s="12"/>
      <c r="D17" s="12"/>
      <c r="E17" s="12"/>
      <c r="F17" s="12"/>
      <c r="G17" s="13"/>
      <c r="H17" s="23"/>
      <c r="I17" s="12"/>
      <c r="J17" s="12"/>
      <c r="K17" s="13"/>
      <c r="L17" s="17"/>
    </row>
    <row r="18" spans="1:12">
      <c r="A18" s="16"/>
      <c r="B18" s="12"/>
      <c r="C18" s="12"/>
      <c r="D18" s="12"/>
      <c r="E18" s="12"/>
      <c r="F18" s="12"/>
      <c r="G18" s="13"/>
      <c r="H18" s="23"/>
      <c r="I18" s="12"/>
      <c r="J18" s="12"/>
      <c r="K18" s="13"/>
      <c r="L18" s="17"/>
    </row>
    <row r="19" spans="1:12">
      <c r="A19" s="16"/>
      <c r="B19" s="12"/>
      <c r="C19" s="12"/>
      <c r="D19" s="12"/>
      <c r="E19" s="12"/>
      <c r="F19" s="12"/>
      <c r="G19" s="13"/>
      <c r="H19" s="23"/>
      <c r="I19" s="12"/>
      <c r="J19" s="12"/>
      <c r="K19" s="13"/>
      <c r="L19" s="17"/>
    </row>
    <row r="20" spans="1:12">
      <c r="A20" s="16"/>
      <c r="B20" s="12"/>
      <c r="C20" s="12"/>
      <c r="D20" s="12"/>
      <c r="E20" s="12"/>
      <c r="F20" s="12"/>
      <c r="G20" s="13"/>
      <c r="H20" s="23"/>
      <c r="I20" s="12"/>
      <c r="J20" s="12"/>
      <c r="K20" s="13"/>
      <c r="L20" s="17"/>
    </row>
    <row r="21" spans="1:12">
      <c r="A21" s="16"/>
      <c r="B21" s="12"/>
      <c r="C21" s="12"/>
      <c r="D21" s="12"/>
      <c r="E21" s="12"/>
      <c r="F21" s="12"/>
      <c r="G21" s="13"/>
      <c r="H21" s="23"/>
      <c r="I21" s="12"/>
      <c r="J21" s="12"/>
      <c r="K21" s="13"/>
      <c r="L21" s="17"/>
    </row>
    <row r="22" spans="1:12">
      <c r="A22" s="16"/>
      <c r="B22" s="12"/>
      <c r="C22" s="12"/>
      <c r="D22" s="12"/>
      <c r="E22" s="12"/>
      <c r="F22" s="12"/>
      <c r="G22" s="13"/>
      <c r="H22" s="23"/>
      <c r="I22" s="12"/>
      <c r="J22" s="12"/>
      <c r="K22" s="13"/>
      <c r="L22" s="17"/>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6"/>
      <c r="B200" s="12"/>
      <c r="C200" s="12"/>
      <c r="D200" s="12"/>
      <c r="E200" s="12"/>
      <c r="F200" s="12"/>
      <c r="G200" s="13"/>
      <c r="H200" s="23"/>
      <c r="I200" s="12"/>
      <c r="J200" s="12"/>
      <c r="K200" s="13"/>
      <c r="L200" s="17"/>
    </row>
    <row r="201" spans="1:12">
      <c r="A201" s="18"/>
      <c r="B201" s="19"/>
      <c r="C201" s="19"/>
      <c r="D201" s="19"/>
      <c r="E201" s="19"/>
      <c r="F201" s="19"/>
      <c r="G201" s="20"/>
      <c r="H201" s="24"/>
      <c r="I201" s="19"/>
      <c r="J201" s="19"/>
      <c r="K201" s="20"/>
      <c r="L201" s="22"/>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E1" workbookViewId="0">
      <selection activeCell="H3" sqref="H3"/>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30" customHeight="1">
      <c r="A1" s="30" t="s">
        <v>115</v>
      </c>
      <c r="B1" s="30"/>
      <c r="C1" s="30"/>
      <c r="D1" s="30"/>
      <c r="E1" s="30"/>
      <c r="F1" s="30"/>
      <c r="G1" s="30"/>
      <c r="H1" s="30"/>
      <c r="I1" s="30"/>
    </row>
    <row r="2" spans="1:9" ht="30">
      <c r="A2" s="1" t="s">
        <v>116</v>
      </c>
      <c r="B2" s="15" t="s">
        <v>69</v>
      </c>
      <c r="C2" s="15" t="s">
        <v>117</v>
      </c>
      <c r="D2" s="15" t="s">
        <v>3</v>
      </c>
      <c r="E2" s="15" t="s">
        <v>118</v>
      </c>
      <c r="F2" s="15" t="s">
        <v>119</v>
      </c>
      <c r="G2" s="15" t="s">
        <v>120</v>
      </c>
      <c r="H2" s="15" t="s">
        <v>121</v>
      </c>
      <c r="I2" s="2" t="s">
        <v>77</v>
      </c>
    </row>
    <row r="3" spans="1:9" ht="105">
      <c r="A3" s="25">
        <v>46259</v>
      </c>
      <c r="B3" s="12" t="s">
        <v>32</v>
      </c>
      <c r="C3" s="12" t="s">
        <v>204</v>
      </c>
      <c r="D3" s="12" t="s">
        <v>205</v>
      </c>
      <c r="E3" s="12" t="s">
        <v>206</v>
      </c>
      <c r="F3" s="12" t="s">
        <v>207</v>
      </c>
      <c r="G3" s="29" t="s">
        <v>208</v>
      </c>
      <c r="H3" s="12" t="s">
        <v>253</v>
      </c>
      <c r="I3" s="17" t="s">
        <v>196</v>
      </c>
    </row>
    <row r="4" spans="1:9">
      <c r="A4" s="25"/>
      <c r="B4" s="12"/>
      <c r="C4" s="12"/>
      <c r="D4" s="12"/>
      <c r="E4" s="12"/>
      <c r="F4" s="12"/>
      <c r="G4" s="12"/>
      <c r="H4" s="12"/>
      <c r="I4" s="17"/>
    </row>
    <row r="5" spans="1:9">
      <c r="A5" s="25"/>
      <c r="B5" s="12"/>
      <c r="C5" s="12"/>
      <c r="D5" s="12"/>
      <c r="E5" s="12"/>
      <c r="F5" s="12"/>
      <c r="G5" s="12"/>
      <c r="H5" s="12"/>
      <c r="I5" s="17"/>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C1" workbookViewId="0">
      <selection activeCell="H6" sqref="H6"/>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30" customHeight="1">
      <c r="A1" s="30" t="s">
        <v>122</v>
      </c>
      <c r="B1" s="30"/>
      <c r="C1" s="30"/>
      <c r="D1" s="30"/>
      <c r="E1" s="30"/>
      <c r="F1" s="30"/>
      <c r="G1" s="30"/>
      <c r="H1" s="30"/>
    </row>
    <row r="2" spans="1:8" ht="15">
      <c r="A2" s="1" t="s">
        <v>123</v>
      </c>
      <c r="B2" s="15" t="s">
        <v>69</v>
      </c>
      <c r="C2" s="15" t="s">
        <v>124</v>
      </c>
      <c r="D2" s="15" t="s">
        <v>125</v>
      </c>
      <c r="E2" s="15" t="s">
        <v>126</v>
      </c>
      <c r="F2" s="15" t="s">
        <v>127</v>
      </c>
      <c r="G2" s="15" t="s">
        <v>128</v>
      </c>
      <c r="H2" s="2" t="s">
        <v>75</v>
      </c>
    </row>
    <row r="3" spans="1:8" ht="57">
      <c r="A3" s="25">
        <v>46259</v>
      </c>
      <c r="B3" s="12" t="s">
        <v>32</v>
      </c>
      <c r="C3" s="12" t="s">
        <v>209</v>
      </c>
      <c r="D3" s="12" t="s">
        <v>210</v>
      </c>
      <c r="E3" s="12" t="s">
        <v>211</v>
      </c>
      <c r="F3" s="12" t="s">
        <v>175</v>
      </c>
      <c r="G3" s="13">
        <v>46259</v>
      </c>
      <c r="H3" s="17" t="s">
        <v>212</v>
      </c>
    </row>
    <row r="4" spans="1:8" ht="42.75">
      <c r="A4" s="25">
        <v>46259</v>
      </c>
      <c r="B4" s="12" t="s">
        <v>32</v>
      </c>
      <c r="C4" s="12" t="s">
        <v>213</v>
      </c>
      <c r="D4" s="12" t="s">
        <v>214</v>
      </c>
      <c r="E4" s="12" t="s">
        <v>215</v>
      </c>
      <c r="F4" s="12" t="s">
        <v>216</v>
      </c>
      <c r="G4" s="13">
        <v>46269</v>
      </c>
      <c r="H4" s="17" t="s">
        <v>217</v>
      </c>
    </row>
    <row r="5" spans="1:8" ht="42.75">
      <c r="A5" s="25">
        <v>46253</v>
      </c>
      <c r="B5" s="12" t="s">
        <v>32</v>
      </c>
      <c r="C5" s="12" t="s">
        <v>218</v>
      </c>
      <c r="D5" s="12" t="s">
        <v>219</v>
      </c>
      <c r="E5" s="12" t="s">
        <v>220</v>
      </c>
      <c r="F5" s="12" t="s">
        <v>221</v>
      </c>
      <c r="G5" s="13">
        <v>46269</v>
      </c>
      <c r="H5" s="17" t="s">
        <v>212</v>
      </c>
    </row>
    <row r="6" spans="1:8" ht="42.75">
      <c r="A6" s="25">
        <v>46262</v>
      </c>
      <c r="B6" s="12" t="s">
        <v>32</v>
      </c>
      <c r="C6" s="12" t="s">
        <v>222</v>
      </c>
      <c r="D6" s="12" t="s">
        <v>223</v>
      </c>
      <c r="E6" s="12" t="s">
        <v>224</v>
      </c>
      <c r="F6" s="12" t="s">
        <v>216</v>
      </c>
      <c r="G6" s="13">
        <v>46263</v>
      </c>
      <c r="H6" s="17" t="s">
        <v>212</v>
      </c>
    </row>
    <row r="7" spans="1:8">
      <c r="A7" s="25"/>
      <c r="B7" s="12"/>
      <c r="C7" s="12"/>
      <c r="D7" s="12"/>
      <c r="E7" s="12"/>
      <c r="F7" s="12"/>
      <c r="G7" s="13"/>
      <c r="H7" s="17"/>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5"/>
      <c r="B100" s="12"/>
      <c r="C100" s="12"/>
      <c r="D100" s="12"/>
      <c r="E100" s="12"/>
      <c r="F100" s="12"/>
      <c r="G100" s="13"/>
      <c r="H100" s="17"/>
    </row>
    <row r="101" spans="1:8">
      <c r="A101" s="26"/>
      <c r="B101" s="19"/>
      <c r="C101" s="19"/>
      <c r="D101" s="19"/>
      <c r="E101" s="19"/>
      <c r="F101" s="19"/>
      <c r="G101" s="20"/>
      <c r="H101" s="22"/>
    </row>
  </sheetData>
  <mergeCells count="1">
    <mergeCell ref="A1:H1"/>
  </mergeCells>
  <phoneticPr fontId="8" type="noConversion"/>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activeCell="B11" sqref="B11"/>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30" customHeight="1">
      <c r="A1" s="30" t="s">
        <v>129</v>
      </c>
      <c r="B1" s="30"/>
      <c r="C1" s="30"/>
      <c r="D1" s="30"/>
      <c r="E1" s="30"/>
      <c r="F1" s="30"/>
    </row>
    <row r="3" spans="1:6" ht="15">
      <c r="A3" s="1" t="s">
        <v>130</v>
      </c>
      <c r="B3" s="2" t="s">
        <v>42</v>
      </c>
      <c r="D3" s="31" t="s">
        <v>131</v>
      </c>
      <c r="E3" s="32"/>
      <c r="F3" s="33"/>
    </row>
    <row r="4" spans="1:6" ht="15">
      <c r="A4" s="3" t="s">
        <v>53</v>
      </c>
      <c r="B4" s="7" t="s">
        <v>32</v>
      </c>
      <c r="D4" s="3" t="s">
        <v>132</v>
      </c>
      <c r="E4" s="27" t="s">
        <v>195</v>
      </c>
    </row>
    <row r="5" spans="1:6" ht="15">
      <c r="A5" s="3" t="s">
        <v>55</v>
      </c>
      <c r="B5" s="7" t="s">
        <v>225</v>
      </c>
      <c r="D5" s="3" t="s">
        <v>133</v>
      </c>
      <c r="E5" s="27" t="s">
        <v>195</v>
      </c>
    </row>
    <row r="6" spans="1:6" ht="15">
      <c r="A6" s="3" t="s">
        <v>134</v>
      </c>
      <c r="B6" s="7" t="s">
        <v>46</v>
      </c>
      <c r="D6" s="3" t="s">
        <v>135</v>
      </c>
      <c r="E6" s="27" t="s">
        <v>195</v>
      </c>
    </row>
    <row r="7" spans="1:6" ht="60" customHeight="1">
      <c r="A7" s="3" t="s">
        <v>136</v>
      </c>
      <c r="B7" s="7" t="s">
        <v>226</v>
      </c>
      <c r="D7" s="3" t="s">
        <v>137</v>
      </c>
      <c r="E7" s="27" t="s">
        <v>195</v>
      </c>
    </row>
    <row r="8" spans="1:6" ht="60" customHeight="1">
      <c r="A8" s="3" t="s">
        <v>138</v>
      </c>
      <c r="B8" s="7" t="s">
        <v>227</v>
      </c>
      <c r="D8" s="3" t="s">
        <v>139</v>
      </c>
      <c r="E8" s="27" t="s">
        <v>195</v>
      </c>
    </row>
    <row r="9" spans="1:6" ht="60" customHeight="1">
      <c r="A9" s="3" t="s">
        <v>140</v>
      </c>
      <c r="B9" s="7" t="s">
        <v>228</v>
      </c>
      <c r="D9" s="3" t="s">
        <v>141</v>
      </c>
      <c r="E9" s="27" t="s">
        <v>195</v>
      </c>
    </row>
    <row r="10" spans="1:6" ht="60" customHeight="1">
      <c r="A10" s="3" t="s">
        <v>142</v>
      </c>
      <c r="B10" s="7" t="s">
        <v>231</v>
      </c>
      <c r="D10" s="3" t="s">
        <v>143</v>
      </c>
      <c r="E10" s="27" t="s">
        <v>195</v>
      </c>
    </row>
    <row r="11" spans="1:6" ht="60" customHeight="1">
      <c r="A11" s="3" t="s">
        <v>144</v>
      </c>
      <c r="B11" s="7" t="s">
        <v>229</v>
      </c>
      <c r="D11" s="3" t="s">
        <v>145</v>
      </c>
      <c r="E11" s="27" t="s">
        <v>195</v>
      </c>
    </row>
    <row r="12" spans="1:6" ht="60" customHeight="1">
      <c r="A12" s="3" t="s">
        <v>146</v>
      </c>
      <c r="B12" s="7" t="s">
        <v>230</v>
      </c>
      <c r="D12" s="5" t="s">
        <v>147</v>
      </c>
      <c r="E12" s="28" t="s">
        <v>195</v>
      </c>
    </row>
    <row r="13" spans="1:6" ht="60" customHeight="1">
      <c r="A13" s="5" t="s">
        <v>148</v>
      </c>
      <c r="B13" s="9" t="s">
        <v>254</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13" workbookViewId="0">
      <selection activeCell="B15" sqref="B15"/>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30" customHeight="1">
      <c r="A1" s="30" t="s">
        <v>29</v>
      </c>
      <c r="B1" s="30"/>
      <c r="C1" s="30"/>
      <c r="D1" s="30"/>
      <c r="E1" s="30"/>
      <c r="F1" s="30"/>
    </row>
    <row r="3" spans="1:6" ht="15">
      <c r="A3" s="1" t="s">
        <v>149</v>
      </c>
      <c r="B3" s="2" t="s">
        <v>42</v>
      </c>
      <c r="D3" s="31" t="s">
        <v>150</v>
      </c>
      <c r="E3" s="32"/>
      <c r="F3" s="33"/>
    </row>
    <row r="4" spans="1:6" ht="42" customHeight="1">
      <c r="A4" s="3" t="s">
        <v>53</v>
      </c>
      <c r="B4" s="7" t="s">
        <v>32</v>
      </c>
      <c r="D4" s="3" t="s">
        <v>151</v>
      </c>
      <c r="E4" s="4" t="s">
        <v>152</v>
      </c>
    </row>
    <row r="5" spans="1:6" ht="42" customHeight="1">
      <c r="A5" s="3" t="s">
        <v>47</v>
      </c>
      <c r="B5" s="7" t="s">
        <v>172</v>
      </c>
      <c r="D5" s="3" t="s">
        <v>153</v>
      </c>
      <c r="E5" s="4" t="s">
        <v>154</v>
      </c>
    </row>
    <row r="6" spans="1:6" ht="42" customHeight="1">
      <c r="A6" s="3" t="s">
        <v>155</v>
      </c>
      <c r="B6" s="43" t="s">
        <v>242</v>
      </c>
      <c r="D6" s="3" t="s">
        <v>156</v>
      </c>
      <c r="E6" s="4" t="s">
        <v>157</v>
      </c>
    </row>
    <row r="7" spans="1:6" ht="42" customHeight="1">
      <c r="A7" s="3" t="s">
        <v>158</v>
      </c>
      <c r="B7" s="43" t="s">
        <v>251</v>
      </c>
      <c r="D7" s="3" t="s">
        <v>159</v>
      </c>
      <c r="E7" s="4" t="s">
        <v>160</v>
      </c>
    </row>
    <row r="8" spans="1:6" ht="42" customHeight="1">
      <c r="A8" s="3" t="s">
        <v>161</v>
      </c>
      <c r="B8" s="7" t="s">
        <v>250</v>
      </c>
      <c r="D8" s="5" t="s">
        <v>162</v>
      </c>
      <c r="E8" s="6" t="s">
        <v>163</v>
      </c>
    </row>
    <row r="9" spans="1:6" ht="74.099999999999994" customHeight="1">
      <c r="A9" s="3" t="s">
        <v>164</v>
      </c>
      <c r="B9" s="7" t="s">
        <v>246</v>
      </c>
    </row>
    <row r="10" spans="1:6" ht="74.099999999999994" customHeight="1">
      <c r="A10" s="3" t="s">
        <v>165</v>
      </c>
      <c r="B10" s="7" t="s">
        <v>244</v>
      </c>
    </row>
    <row r="11" spans="1:6" ht="74.099999999999994" customHeight="1">
      <c r="A11" s="3" t="s">
        <v>166</v>
      </c>
      <c r="B11" s="7" t="s">
        <v>243</v>
      </c>
    </row>
    <row r="12" spans="1:6" ht="74.099999999999994" customHeight="1">
      <c r="A12" s="3" t="s">
        <v>167</v>
      </c>
      <c r="B12" s="7" t="s">
        <v>245</v>
      </c>
    </row>
    <row r="13" spans="1:6" ht="74.099999999999994" customHeight="1">
      <c r="A13" s="3" t="s">
        <v>168</v>
      </c>
      <c r="B13" s="7" t="s">
        <v>247</v>
      </c>
    </row>
    <row r="14" spans="1:6" ht="74.099999999999994" customHeight="1">
      <c r="A14" s="3" t="s">
        <v>169</v>
      </c>
      <c r="B14" s="7" t="s">
        <v>248</v>
      </c>
    </row>
    <row r="15" spans="1:6" ht="74.099999999999994" customHeight="1">
      <c r="A15" s="5" t="s">
        <v>170</v>
      </c>
      <c r="B15" s="9" t="s">
        <v>249</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Thabang Motaung</dc:creator>
  <cp:lastModifiedBy>Thabang Motaung</cp:lastModifiedBy>
  <dcterms:created xsi:type="dcterms:W3CDTF">2026-09-04T07:34:13Z</dcterms:created>
  <dcterms:modified xsi:type="dcterms:W3CDTF">2026-09-04T14:40:26Z</dcterms:modified>
</cp:coreProperties>
</file>